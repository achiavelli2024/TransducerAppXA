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\transducerapp\PROTOCOLO TRANSDUTOR\"/>
    </mc:Choice>
  </mc:AlternateContent>
  <xr:revisionPtr revIDLastSave="0" documentId="13_ncr:1_{B5F18C69-7524-4882-8A66-602A6053E27D}" xr6:coauthVersionLast="47" xr6:coauthVersionMax="47" xr10:uidLastSave="{00000000-0000-0000-0000-000000000000}"/>
  <bookViews>
    <workbookView xWindow="-120" yWindow="-120" windowWidth="29040" windowHeight="15720" activeTab="4" xr2:uid="{484856E2-D0A7-4D61-ACDC-824CE86609C0}"/>
  </bookViews>
  <sheets>
    <sheet name="Sheet1" sheetId="1" r:id="rId1"/>
    <sheet name="Erros" sheetId="3" r:id="rId2"/>
    <sheet name="Protocol" sheetId="2" r:id="rId3"/>
    <sheet name="SLOWCOMM" sheetId="5" r:id="rId4"/>
    <sheet name="Commands" sheetId="6" r:id="rId5"/>
    <sheet name="Sheet2" sheetId="7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0" i="7" l="1"/>
  <c r="A16" i="7"/>
  <c r="A19" i="7"/>
  <c r="A22" i="7"/>
  <c r="A39" i="7"/>
  <c r="A40" i="7"/>
  <c r="A51" i="7"/>
  <c r="R27" i="6"/>
  <c r="R26" i="6"/>
  <c r="R25" i="6"/>
  <c r="R24" i="6"/>
  <c r="R23" i="6"/>
  <c r="R22" i="6"/>
  <c r="R21" i="6"/>
  <c r="R20" i="6"/>
  <c r="R19" i="6"/>
  <c r="R18" i="6"/>
  <c r="R17" i="6"/>
  <c r="R16" i="6"/>
  <c r="R15" i="6"/>
  <c r="R14" i="6"/>
  <c r="R13" i="6"/>
  <c r="R12" i="6"/>
  <c r="R11" i="6"/>
  <c r="R10" i="6"/>
  <c r="R9" i="6"/>
  <c r="R8" i="6"/>
  <c r="R7" i="6"/>
  <c r="R6" i="6"/>
  <c r="R5" i="6"/>
  <c r="R4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22" i="6"/>
  <c r="E23" i="6"/>
  <c r="E24" i="6"/>
  <c r="E25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4" i="6"/>
  <c r="B7" i="1"/>
  <c r="B8" i="1"/>
  <c r="B9" i="1"/>
  <c r="B10" i="1"/>
  <c r="B6" i="1"/>
</calcChain>
</file>

<file path=xl/sharedStrings.xml><?xml version="1.0" encoding="utf-8"?>
<sst xmlns="http://schemas.openxmlformats.org/spreadsheetml/2006/main" count="2182" uniqueCount="685">
  <si>
    <t>Prefixo</t>
  </si>
  <si>
    <t>ID Destino</t>
  </si>
  <si>
    <t>Comando</t>
  </si>
  <si>
    <t>Dados</t>
  </si>
  <si>
    <t>CRC 8 BITS</t>
  </si>
  <si>
    <t>Sufixo</t>
  </si>
  <si>
    <t>[</t>
  </si>
  <si>
    <t>A</t>
  </si>
  <si>
    <t>B</t>
  </si>
  <si>
    <t>D</t>
  </si>
  <si>
    <t>C</t>
  </si>
  <si>
    <t>]</t>
  </si>
  <si>
    <t>[000000000000IDC1]</t>
  </si>
  <si>
    <t>I</t>
  </si>
  <si>
    <t>[00000F311550ID17]</t>
  </si>
  <si>
    <t>F</t>
  </si>
  <si>
    <t>[00000F311550DICC]</t>
  </si>
  <si>
    <t>M</t>
  </si>
  <si>
    <t>S</t>
  </si>
  <si>
    <t>R</t>
  </si>
  <si>
    <t>T</t>
  </si>
  <si>
    <r>
      <t>[</t>
    </r>
    <r>
      <rPr>
        <sz val="11"/>
        <color rgb="FFED0000"/>
        <rFont val="Calibri"/>
        <family val="2"/>
        <scheme val="minor"/>
      </rPr>
      <t>00000F311550</t>
    </r>
    <r>
      <rPr>
        <sz val="11"/>
        <color rgb="FF388600"/>
        <rFont val="Calibri"/>
        <family val="2"/>
        <scheme val="minor"/>
      </rPr>
      <t>DI</t>
    </r>
    <r>
      <rPr>
        <sz val="11"/>
        <color theme="4"/>
        <rFont val="Calibri"/>
        <family val="2"/>
        <scheme val="minor"/>
      </rPr>
      <t>00886   MSRT-75-38                      2.001.310100007521340150C45B000001F400000000</t>
    </r>
    <r>
      <rPr>
        <sz val="11"/>
        <color theme="1"/>
        <rFont val="Calibri"/>
        <family val="2"/>
        <scheme val="minor"/>
      </rPr>
      <t>29]</t>
    </r>
  </si>
  <si>
    <t>ER01 = CRC inválido (pacote corrompido)</t>
  </si>
  <si>
    <t>ER02 = Syntax error (format/parameter invalid)</t>
  </si>
  <si>
    <t>ER03 = Invalid command (comando desconhecido)</t>
  </si>
  <si>
    <t>ER04 = Device not ready (dispositivo em estado que não aceita o comando)</t>
  </si>
  <si>
    <t>ID  de Destino</t>
  </si>
  <si>
    <t>Operação</t>
  </si>
  <si>
    <t>BYTE 0</t>
  </si>
  <si>
    <t>BYTE 1</t>
  </si>
  <si>
    <t>BYTE 2</t>
  </si>
  <si>
    <t>BYTE 3</t>
  </si>
  <si>
    <t>BYTE 4</t>
  </si>
  <si>
    <t>BYTE 5</t>
  </si>
  <si>
    <t>BYTE 6</t>
  </si>
  <si>
    <t>BYTE 7</t>
  </si>
  <si>
    <t>BYTE 8</t>
  </si>
  <si>
    <t>BYTE 9</t>
  </si>
  <si>
    <t>BYTE 10</t>
  </si>
  <si>
    <t>BYTE 11</t>
  </si>
  <si>
    <t>BYTE 12</t>
  </si>
  <si>
    <t>BYTE 13</t>
  </si>
  <si>
    <t>BYTE 14</t>
  </si>
  <si>
    <t>BYTE 15</t>
  </si>
  <si>
    <t>BYTE 16</t>
  </si>
  <si>
    <t>BYTE 17</t>
  </si>
  <si>
    <t>BYTE 18</t>
  </si>
  <si>
    <t>BYTE 19</t>
  </si>
  <si>
    <t>BYTE 20</t>
  </si>
  <si>
    <t>BYTE 21</t>
  </si>
  <si>
    <t>BYTE 22</t>
  </si>
  <si>
    <t>BYTE 23</t>
  </si>
  <si>
    <t>BYTE 24</t>
  </si>
  <si>
    <t>BYTE 25</t>
  </si>
  <si>
    <t>BYTE 26</t>
  </si>
  <si>
    <t>BYTE 27</t>
  </si>
  <si>
    <t>BYTE 28</t>
  </si>
  <si>
    <t>BYTE 29</t>
  </si>
  <si>
    <t>BYTE 30</t>
  </si>
  <si>
    <t>BYTE 31</t>
  </si>
  <si>
    <t>BYTE 32</t>
  </si>
  <si>
    <t>BYTE 33</t>
  </si>
  <si>
    <t>BYTE 34</t>
  </si>
  <si>
    <t>BYTE 35</t>
  </si>
  <si>
    <t>BYTE 36</t>
  </si>
  <si>
    <t>BYTE 37</t>
  </si>
  <si>
    <t>BYTE 38</t>
  </si>
  <si>
    <t>BYTE 39</t>
  </si>
  <si>
    <t>BYTE 40</t>
  </si>
  <si>
    <t>BYTE 41</t>
  </si>
  <si>
    <t>BYTE 42</t>
  </si>
  <si>
    <t>BYTE 43</t>
  </si>
  <si>
    <t>BYTE 44</t>
  </si>
  <si>
    <t>BYTE 45</t>
  </si>
  <si>
    <t>BYTE 46</t>
  </si>
  <si>
    <t>BYTE 47</t>
  </si>
  <si>
    <t>BYTE 48</t>
  </si>
  <si>
    <t>BYTE 49</t>
  </si>
  <si>
    <t>BYTE 50</t>
  </si>
  <si>
    <t>BYTE 51</t>
  </si>
  <si>
    <t>BYTE 52</t>
  </si>
  <si>
    <t>BYTE 53</t>
  </si>
  <si>
    <t>BYTE 54</t>
  </si>
  <si>
    <t>BYTE 55</t>
  </si>
  <si>
    <t>BYTE 56</t>
  </si>
  <si>
    <t>BYTE 57</t>
  </si>
  <si>
    <t>BYTE 58</t>
  </si>
  <si>
    <t>BYTE 59</t>
  </si>
  <si>
    <t>BYTE 60</t>
  </si>
  <si>
    <t>BYTE 61</t>
  </si>
  <si>
    <t>BYTE 62</t>
  </si>
  <si>
    <t>BYTE 63</t>
  </si>
  <si>
    <t>BYTE 64</t>
  </si>
  <si>
    <t>BYTE 65</t>
  </si>
  <si>
    <t>BYTE 66</t>
  </si>
  <si>
    <t>BYTE 67</t>
  </si>
  <si>
    <t>BYTE 68</t>
  </si>
  <si>
    <t>BYTE 69</t>
  </si>
  <si>
    <t>BYTE 70</t>
  </si>
  <si>
    <t>BYTE 71</t>
  </si>
  <si>
    <t>BYTE 72</t>
  </si>
  <si>
    <t>BYTE 73</t>
  </si>
  <si>
    <t>BYTE 74</t>
  </si>
  <si>
    <t>BYTE 75</t>
  </si>
  <si>
    <t>BYTE 76</t>
  </si>
  <si>
    <t>BYTE 77</t>
  </si>
  <si>
    <t>BYTE 78</t>
  </si>
  <si>
    <t>BYTE 79</t>
  </si>
  <si>
    <t>BYTE 80</t>
  </si>
  <si>
    <t>BYTE 81</t>
  </si>
  <si>
    <t>BYTE 82</t>
  </si>
  <si>
    <t>BYTE 83</t>
  </si>
  <si>
    <t>BYTE 84</t>
  </si>
  <si>
    <t>BYTE 85</t>
  </si>
  <si>
    <t>BYTE 86</t>
  </si>
  <si>
    <t>BYTE 87</t>
  </si>
  <si>
    <t>BYTE 88</t>
  </si>
  <si>
    <t>BYTE 89</t>
  </si>
  <si>
    <t>BYTE 90</t>
  </si>
  <si>
    <t>BYTE 91</t>
  </si>
  <si>
    <t>BYTE 92</t>
  </si>
  <si>
    <t>BYTE 93</t>
  </si>
  <si>
    <t>BYTE 94</t>
  </si>
  <si>
    <t>BYTE 95</t>
  </si>
  <si>
    <t>BYTE 96</t>
  </si>
  <si>
    <t>BYTE 97</t>
  </si>
  <si>
    <t>BYTE 98</t>
  </si>
  <si>
    <t>BYTE 99</t>
  </si>
  <si>
    <t>BYTE 100</t>
  </si>
  <si>
    <t>BYTE 101</t>
  </si>
  <si>
    <t>BYTE 102</t>
  </si>
  <si>
    <t>BYTE 103</t>
  </si>
  <si>
    <t>BYTE 104</t>
  </si>
  <si>
    <t>BYTE 105</t>
  </si>
  <si>
    <t>BYTE 106</t>
  </si>
  <si>
    <t>BYTE 107</t>
  </si>
  <si>
    <t>BYTE 108</t>
  </si>
  <si>
    <t>BYTE 109</t>
  </si>
  <si>
    <t>BYTE 110</t>
  </si>
  <si>
    <t>Solicita ID (Broadcast)</t>
  </si>
  <si>
    <t>COMANDO</t>
  </si>
  <si>
    <t>CRC8 MSB</t>
  </si>
  <si>
    <t>CRC8 LSB</t>
  </si>
  <si>
    <t>RESPOSTA</t>
  </si>
  <si>
    <t>ID11</t>
  </si>
  <si>
    <t>ID10</t>
  </si>
  <si>
    <t>ID9</t>
  </si>
  <si>
    <t>ID8</t>
  </si>
  <si>
    <t>ID7</t>
  </si>
  <si>
    <t>ID6</t>
  </si>
  <si>
    <t>ID5</t>
  </si>
  <si>
    <t>ID4</t>
  </si>
  <si>
    <t>ID3</t>
  </si>
  <si>
    <t>ID2</t>
  </si>
  <si>
    <t>ID1</t>
  </si>
  <si>
    <t>ID0</t>
  </si>
  <si>
    <t>Solicita Torque e ângulo</t>
  </si>
  <si>
    <t>Q</t>
  </si>
  <si>
    <t>TORQUE7</t>
  </si>
  <si>
    <t>TORQUE6</t>
  </si>
  <si>
    <t>TORQUE5</t>
  </si>
  <si>
    <t>TORQUE4</t>
  </si>
  <si>
    <t>TORQUE3</t>
  </si>
  <si>
    <t>TORQUE2</t>
  </si>
  <si>
    <t>TORQUE1</t>
  </si>
  <si>
    <t>TORQUE0</t>
  </si>
  <si>
    <t>ANG7</t>
  </si>
  <si>
    <t>ANG6</t>
  </si>
  <si>
    <t>ANG5</t>
  </si>
  <si>
    <t>ANG4</t>
  </si>
  <si>
    <t>ANG3</t>
  </si>
  <si>
    <t>ANG2</t>
  </si>
  <si>
    <t>ANG1</t>
  </si>
  <si>
    <t>ANG0</t>
  </si>
  <si>
    <t>FREQ3</t>
  </si>
  <si>
    <t>FREQ2</t>
  </si>
  <si>
    <t>FREQ1</t>
  </si>
  <si>
    <t>FREQ0</t>
  </si>
  <si>
    <t>DIR1</t>
  </si>
  <si>
    <t>DIR0</t>
  </si>
  <si>
    <t>TOOL1</t>
  </si>
  <si>
    <t>TOOL0</t>
  </si>
  <si>
    <t>Configura Aquisição</t>
  </si>
  <si>
    <t>THI7</t>
  </si>
  <si>
    <t>THI6</t>
  </si>
  <si>
    <t>THI5</t>
  </si>
  <si>
    <t>THI4</t>
  </si>
  <si>
    <t>THI3</t>
  </si>
  <si>
    <t>THI2</t>
  </si>
  <si>
    <t>THI1</t>
  </si>
  <si>
    <t>THI0</t>
  </si>
  <si>
    <t>THF7</t>
  </si>
  <si>
    <t>THF6</t>
  </si>
  <si>
    <t>THF5</t>
  </si>
  <si>
    <t>THF4</t>
  </si>
  <si>
    <t>THF3</t>
  </si>
  <si>
    <t>THF2</t>
  </si>
  <si>
    <t>THF1</t>
  </si>
  <si>
    <t>THF0</t>
  </si>
  <si>
    <t>THT3</t>
  </si>
  <si>
    <t>THT2</t>
  </si>
  <si>
    <t>THT1</t>
  </si>
  <si>
    <t>THT0</t>
  </si>
  <si>
    <t>TSTEP3</t>
  </si>
  <si>
    <t>TSTEP2</t>
  </si>
  <si>
    <t>TSTEP1</t>
  </si>
  <si>
    <t>TSTEP0</t>
  </si>
  <si>
    <t>RESERV7</t>
  </si>
  <si>
    <t>RESERV6</t>
  </si>
  <si>
    <t>RESERV5</t>
  </si>
  <si>
    <t>RESERV4</t>
  </si>
  <si>
    <t>RESERV3</t>
  </si>
  <si>
    <t>RESERV2</t>
  </si>
  <si>
    <t>RESERV1</t>
  </si>
  <si>
    <t>RESERV0</t>
  </si>
  <si>
    <t>Lê configuração da aquisição</t>
  </si>
  <si>
    <t>G</t>
  </si>
  <si>
    <t>Lê Informações do dispositivo</t>
  </si>
  <si>
    <t>SN7</t>
  </si>
  <si>
    <t>SN6</t>
  </si>
  <si>
    <t>SN5</t>
  </si>
  <si>
    <t>SN4</t>
  </si>
  <si>
    <t>SN3</t>
  </si>
  <si>
    <t>SN2</t>
  </si>
  <si>
    <t>SN1</t>
  </si>
  <si>
    <t>SN0</t>
  </si>
  <si>
    <t>MD31</t>
  </si>
  <si>
    <t>MD30</t>
  </si>
  <si>
    <t>MD29</t>
  </si>
  <si>
    <t>MD28</t>
  </si>
  <si>
    <t>MD27</t>
  </si>
  <si>
    <t>MD26</t>
  </si>
  <si>
    <t>MD25</t>
  </si>
  <si>
    <t>MD24</t>
  </si>
  <si>
    <t>MD23</t>
  </si>
  <si>
    <t>MD22</t>
  </si>
  <si>
    <t>MD21</t>
  </si>
  <si>
    <t>MD20</t>
  </si>
  <si>
    <t>MD19</t>
  </si>
  <si>
    <t>MD18</t>
  </si>
  <si>
    <t>MD17</t>
  </si>
  <si>
    <t>MD16</t>
  </si>
  <si>
    <t>MD15</t>
  </si>
  <si>
    <t>MD14</t>
  </si>
  <si>
    <t>MD13</t>
  </si>
  <si>
    <t>MD12</t>
  </si>
  <si>
    <t>MD11</t>
  </si>
  <si>
    <t>MD10</t>
  </si>
  <si>
    <t>MD9</t>
  </si>
  <si>
    <t>MD8</t>
  </si>
  <si>
    <t>MD7</t>
  </si>
  <si>
    <t>MD6</t>
  </si>
  <si>
    <t>MD5</t>
  </si>
  <si>
    <t>MD4</t>
  </si>
  <si>
    <t>MD3</t>
  </si>
  <si>
    <t>MD2</t>
  </si>
  <si>
    <t>MD1</t>
  </si>
  <si>
    <t>MD0</t>
  </si>
  <si>
    <t>HW3</t>
  </si>
  <si>
    <t>HW2</t>
  </si>
  <si>
    <t>HW1</t>
  </si>
  <si>
    <t>HW0</t>
  </si>
  <si>
    <t>FW3</t>
  </si>
  <si>
    <t>FW2</t>
  </si>
  <si>
    <t>FW1</t>
  </si>
  <si>
    <t>FW0</t>
  </si>
  <si>
    <t>TYPE1</t>
  </si>
  <si>
    <t>TYPE0</t>
  </si>
  <si>
    <t>CAP5</t>
  </si>
  <si>
    <t>CAP4</t>
  </si>
  <si>
    <t>CAP3</t>
  </si>
  <si>
    <t>CAP2</t>
  </si>
  <si>
    <t>CAP1</t>
  </si>
  <si>
    <t>CAP0</t>
  </si>
  <si>
    <t>BUFSIZE3</t>
  </si>
  <si>
    <t>BUFSIZE2</t>
  </si>
  <si>
    <t>BUFSIZE1</t>
  </si>
  <si>
    <t>BUFSIZE0</t>
  </si>
  <si>
    <t>TORQUESENS7</t>
  </si>
  <si>
    <t>TORQUESENS6</t>
  </si>
  <si>
    <t>TORQUESENS5</t>
  </si>
  <si>
    <t>TORQUESENS4</t>
  </si>
  <si>
    <t>TORQUESENS3</t>
  </si>
  <si>
    <t>TORQUESENS2</t>
  </si>
  <si>
    <t>TORQUESENS1</t>
  </si>
  <si>
    <t>TORQUESENS0</t>
  </si>
  <si>
    <t>ANGLESENS7</t>
  </si>
  <si>
    <t>ANGLESENS6</t>
  </si>
  <si>
    <t>ANGLESENS5</t>
  </si>
  <si>
    <t>ANGLESENS4</t>
  </si>
  <si>
    <t>ANGLESENS3</t>
  </si>
  <si>
    <t>ANGLESENS2</t>
  </si>
  <si>
    <t>ANGLESENS1</t>
  </si>
  <si>
    <t>ANGLESENS0</t>
  </si>
  <si>
    <t>Lê Status do dispositivo</t>
  </si>
  <si>
    <t>STATE1</t>
  </si>
  <si>
    <t>STATE0</t>
  </si>
  <si>
    <t>ERROR1</t>
  </si>
  <si>
    <t>ERROR0</t>
  </si>
  <si>
    <t>TEMP3</t>
  </si>
  <si>
    <t>TEMP2</t>
  </si>
  <si>
    <t>TEMP1</t>
  </si>
  <si>
    <t>TEMP0</t>
  </si>
  <si>
    <t>IFACE1</t>
  </si>
  <si>
    <t>IFACE0</t>
  </si>
  <si>
    <t>PWRSOURCE1</t>
  </si>
  <si>
    <t>PWRSOURCE0</t>
  </si>
  <si>
    <t>PWRSTATE1</t>
  </si>
  <si>
    <t>PWRSTATE0</t>
  </si>
  <si>
    <t>ANAPWRSTATE1</t>
  </si>
  <si>
    <t>ANAPWRSTATE0</t>
  </si>
  <si>
    <t>ENCPWRSTATE1</t>
  </si>
  <si>
    <t>ENCPWRSTATE0</t>
  </si>
  <si>
    <t>PWRVOLT3</t>
  </si>
  <si>
    <t>PWRVOLT2</t>
  </si>
  <si>
    <t>PWRVOLT1</t>
  </si>
  <si>
    <t>PWRVOLT0</t>
  </si>
  <si>
    <t>AUTOPWR3</t>
  </si>
  <si>
    <t>AUTOPWR2</t>
  </si>
  <si>
    <t>AUTOPWR1</t>
  </si>
  <si>
    <t>AUTOPWR0</t>
  </si>
  <si>
    <t>RST3</t>
  </si>
  <si>
    <t>RST2</t>
  </si>
  <si>
    <t>RST1</t>
  </si>
  <si>
    <t>RST0</t>
  </si>
  <si>
    <t>ALIVE7</t>
  </si>
  <si>
    <t>ALIVE6</t>
  </si>
  <si>
    <t>ALIVE5</t>
  </si>
  <si>
    <t>ALIVE4</t>
  </si>
  <si>
    <t>ALIVE3</t>
  </si>
  <si>
    <t>ALIVE2</t>
  </si>
  <si>
    <t>ALIVE1</t>
  </si>
  <si>
    <t>ALIVE0</t>
  </si>
  <si>
    <t>Lê Status da Aquisição</t>
  </si>
  <si>
    <t>L</t>
  </si>
  <si>
    <t>ACQSTATUS1</t>
  </si>
  <si>
    <t>ACQSTATUS0</t>
  </si>
  <si>
    <t>INDEX3</t>
  </si>
  <si>
    <t>INDEX2</t>
  </si>
  <si>
    <t>INDEX1</t>
  </si>
  <si>
    <t>INDEX0</t>
  </si>
  <si>
    <t>SIZE3</t>
  </si>
  <si>
    <t>SIZE2</t>
  </si>
  <si>
    <t>SIZE1</t>
  </si>
  <si>
    <t>SIZE0</t>
  </si>
  <si>
    <t>PEAKINDEX3</t>
  </si>
  <si>
    <t>PEAKINDEX2</t>
  </si>
  <si>
    <t>PEAKINDEX1</t>
  </si>
  <si>
    <t>PEAKINDEX0</t>
  </si>
  <si>
    <t>THTINDEX3</t>
  </si>
  <si>
    <t>PEAKVALUE7</t>
  </si>
  <si>
    <t>PEAKVALUE6</t>
  </si>
  <si>
    <t>PEAKVALUE5</t>
  </si>
  <si>
    <t>PEAKVALUE4</t>
  </si>
  <si>
    <t>PEAKVALUE3</t>
  </si>
  <si>
    <t>PEAKVALUE2</t>
  </si>
  <si>
    <t>PEAKVALUE1</t>
  </si>
  <si>
    <t>PEAKVALUE0</t>
  </si>
  <si>
    <t>PEAKANGLE7</t>
  </si>
  <si>
    <t>PEAKANGLE6</t>
  </si>
  <si>
    <t>PEAKANGLE5</t>
  </si>
  <si>
    <t>PEAKANGLE4</t>
  </si>
  <si>
    <t>PEAKANGLE3</t>
  </si>
  <si>
    <t>PEAKANGLE2</t>
  </si>
  <si>
    <t>PEAKANGLE1</t>
  </si>
  <si>
    <t>PEAKANGLE0</t>
  </si>
  <si>
    <t>Libera nova aquisição</t>
  </si>
  <si>
    <t>N</t>
  </si>
  <si>
    <t>Obtém pontos da curva</t>
  </si>
  <si>
    <t>STARTINDEX3</t>
  </si>
  <si>
    <t>STARTINDEX2</t>
  </si>
  <si>
    <t>STARTINDEX1</t>
  </si>
  <si>
    <t>STARTINDEX0</t>
  </si>
  <si>
    <t>STEP1</t>
  </si>
  <si>
    <t>STEP0</t>
  </si>
  <si>
    <t>DATA_N</t>
  </si>
  <si>
    <t>...</t>
  </si>
  <si>
    <t>DATA0</t>
  </si>
  <si>
    <t>Mensagem de erro</t>
  </si>
  <si>
    <t>NÃO HÁ COMANDO</t>
  </si>
  <si>
    <t>RESPSOTA</t>
  </si>
  <si>
    <t>E</t>
  </si>
  <si>
    <t>X</t>
  </si>
  <si>
    <t>Zera Offset</t>
  </si>
  <si>
    <t>Z</t>
  </si>
  <si>
    <t>O</t>
  </si>
  <si>
    <t>TQ</t>
  </si>
  <si>
    <t>ANG</t>
  </si>
  <si>
    <t>NVRAM Page Write</t>
  </si>
  <si>
    <t>P</t>
  </si>
  <si>
    <t>W</t>
  </si>
  <si>
    <t>ADDRESS3</t>
  </si>
  <si>
    <t>ADDRESS2</t>
  </si>
  <si>
    <t>ADDRESS1</t>
  </si>
  <si>
    <t>ADDRESS0</t>
  </si>
  <si>
    <t>DATA0H</t>
  </si>
  <si>
    <t>DATA0L</t>
  </si>
  <si>
    <t>DATA1H</t>
  </si>
  <si>
    <t>DATA1L</t>
  </si>
  <si>
    <t>DATANH</t>
  </si>
  <si>
    <t>DATANL</t>
  </si>
  <si>
    <t>NVRAM Page Read</t>
  </si>
  <si>
    <t>Grava calibração</t>
  </si>
  <si>
    <t>TIMESTAMP7</t>
  </si>
  <si>
    <t>TIMESTAMP6</t>
  </si>
  <si>
    <t>TIMESTAMP5</t>
  </si>
  <si>
    <t>TIMESTAMP4</t>
  </si>
  <si>
    <t>TIMESTAMP3</t>
  </si>
  <si>
    <t>TIMESTAMP2</t>
  </si>
  <si>
    <t>TIMESTAMP1</t>
  </si>
  <si>
    <t>TIMESTAMP0</t>
  </si>
  <si>
    <t>DATA7</t>
  </si>
  <si>
    <t>DATA6</t>
  </si>
  <si>
    <t>DATA5</t>
  </si>
  <si>
    <t>DATA4</t>
  </si>
  <si>
    <t>DATA3</t>
  </si>
  <si>
    <t>DATA2</t>
  </si>
  <si>
    <t>DATA1</t>
  </si>
  <si>
    <t>Lê contadores</t>
  </si>
  <si>
    <t>TOTALCOUNT7</t>
  </si>
  <si>
    <t>TOTALCOUNT6</t>
  </si>
  <si>
    <t>TOTALCOUNT5</t>
  </si>
  <si>
    <t>TOTALCOUNT4</t>
  </si>
  <si>
    <t>TOTALCOUNT3</t>
  </si>
  <si>
    <t>TOTALCOUNT2</t>
  </si>
  <si>
    <t>TOTALCOUNT1</t>
  </si>
  <si>
    <t>TOTALCOUNT0</t>
  </si>
  <si>
    <t>OVERTRQCOUNT7</t>
  </si>
  <si>
    <t>OVERTRQCOUNT6</t>
  </si>
  <si>
    <t>OVERTRQCOUNT5</t>
  </si>
  <si>
    <t>OVERTRQCOUNT4</t>
  </si>
  <si>
    <t>OVERTRQCOUNT3</t>
  </si>
  <si>
    <t>OVERTRQCOUNT2</t>
  </si>
  <si>
    <t>OVERTRQCOUNT1</t>
  </si>
  <si>
    <t>OVERTRQCOUNT0</t>
  </si>
  <si>
    <t>MAXTRQ7</t>
  </si>
  <si>
    <t>MAXTRQ6</t>
  </si>
  <si>
    <t>MAXTRQ5</t>
  </si>
  <si>
    <t>MAXTRQ4</t>
  </si>
  <si>
    <t>MAXTRQ3</t>
  </si>
  <si>
    <t>MAXTRQ2</t>
  </si>
  <si>
    <t>MAXTRQ1</t>
  </si>
  <si>
    <t>MAXTRQ0</t>
  </si>
  <si>
    <t>RESERV15</t>
  </si>
  <si>
    <t>RESERV14</t>
  </si>
  <si>
    <t>RESERV13</t>
  </si>
  <si>
    <t>RESERV12</t>
  </si>
  <si>
    <t>RESERV11</t>
  </si>
  <si>
    <t>RESERV10</t>
  </si>
  <si>
    <t>RESERV9</t>
  </si>
  <si>
    <t>RESERV8</t>
  </si>
  <si>
    <t>Configura Dispositivo</t>
  </si>
  <si>
    <t>Grava Capacidade</t>
  </si>
  <si>
    <t>CAP05</t>
  </si>
  <si>
    <t>CAP04</t>
  </si>
  <si>
    <t>CAP03</t>
  </si>
  <si>
    <t>CAP02</t>
  </si>
  <si>
    <t>CAP01</t>
  </si>
  <si>
    <t>CAP00</t>
  </si>
  <si>
    <t>Grava Modelo</t>
  </si>
  <si>
    <t>MODEL31</t>
  </si>
  <si>
    <t>MODEL30</t>
  </si>
  <si>
    <t>MODEL29</t>
  </si>
  <si>
    <t>MODEL28</t>
  </si>
  <si>
    <t>MODEL27</t>
  </si>
  <si>
    <t>MODEL26</t>
  </si>
  <si>
    <t>MODEL25</t>
  </si>
  <si>
    <t>MODEL24</t>
  </si>
  <si>
    <t>MODEL23</t>
  </si>
  <si>
    <t>MODEL22</t>
  </si>
  <si>
    <t>MODEL21</t>
  </si>
  <si>
    <t>MODEL20</t>
  </si>
  <si>
    <t>MODEL19</t>
  </si>
  <si>
    <t>MODEL18</t>
  </si>
  <si>
    <t>MODEL17</t>
  </si>
  <si>
    <t>MODEL16</t>
  </si>
  <si>
    <t>MODEL15</t>
  </si>
  <si>
    <t>MODEL14</t>
  </si>
  <si>
    <t>MODEL13</t>
  </si>
  <si>
    <t>MODEL12</t>
  </si>
  <si>
    <t>MODEL11</t>
  </si>
  <si>
    <t>MODEL10</t>
  </si>
  <si>
    <t>MODEL9</t>
  </si>
  <si>
    <t>MODEL8</t>
  </si>
  <si>
    <t>MODEL7</t>
  </si>
  <si>
    <t>MODEL6</t>
  </si>
  <si>
    <t>MODEL5</t>
  </si>
  <si>
    <t>MODEL4</t>
  </si>
  <si>
    <t>MODEL3</t>
  </si>
  <si>
    <t>MODEL2</t>
  </si>
  <si>
    <t>MODEL1</t>
  </si>
  <si>
    <t>MODEL0</t>
  </si>
  <si>
    <t>Grava Serial Number</t>
  </si>
  <si>
    <t>Configura Sensibilidade do Estalo</t>
  </si>
  <si>
    <t>FALL1</t>
  </si>
  <si>
    <t>FALL0</t>
  </si>
  <si>
    <t>RISE1</t>
  </si>
  <si>
    <t>RISE0</t>
  </si>
  <si>
    <t>WIDTH1</t>
  </si>
  <si>
    <t>WIDTH0</t>
  </si>
  <si>
    <t>Lê Configuração da Sensibilidade do Estalo</t>
  </si>
  <si>
    <t>Configuração Adicional da Aquisição</t>
  </si>
  <si>
    <t>TORQUETARGET7</t>
  </si>
  <si>
    <t>TORQUETARGET6</t>
  </si>
  <si>
    <t>TORQUETARGET5</t>
  </si>
  <si>
    <t>TORQUETARGET4</t>
  </si>
  <si>
    <t>TORQUETARGET3</t>
  </si>
  <si>
    <t>TORQUETARGET2</t>
  </si>
  <si>
    <t>TORQUETARGET1</t>
  </si>
  <si>
    <t>TORQUETARGET0</t>
  </si>
  <si>
    <t>TORQUEUCL7</t>
  </si>
  <si>
    <t>TORQUEUCL6</t>
  </si>
  <si>
    <t>TORQUEUCL5</t>
  </si>
  <si>
    <t>TORQUEUCL4</t>
  </si>
  <si>
    <t>TORQUEUCL3</t>
  </si>
  <si>
    <t>TORQUEUCL2</t>
  </si>
  <si>
    <t>TORQUEUCL1</t>
  </si>
  <si>
    <t>TORQUEUCL0</t>
  </si>
  <si>
    <t>TORQUELCL7</t>
  </si>
  <si>
    <t>TORQUELCL6</t>
  </si>
  <si>
    <t>TORQUELCL5</t>
  </si>
  <si>
    <t>TORQUELCL4</t>
  </si>
  <si>
    <t>TORQUELCL3</t>
  </si>
  <si>
    <t>TORQUELCL2</t>
  </si>
  <si>
    <t>TORQUELCL1</t>
  </si>
  <si>
    <t>TORQUELCL0</t>
  </si>
  <si>
    <t>ANGLETARGET7</t>
  </si>
  <si>
    <t>ANGLETARGET6</t>
  </si>
  <si>
    <t>ANGLETARGET5</t>
  </si>
  <si>
    <t>ANGLETARGET4</t>
  </si>
  <si>
    <t>ANGLETARGET3</t>
  </si>
  <si>
    <t>ANGLETARGET2</t>
  </si>
  <si>
    <t>ANGLETARGET1</t>
  </si>
  <si>
    <t>ANGLETARGET0</t>
  </si>
  <si>
    <t>ANGLEUCL7</t>
  </si>
  <si>
    <t>ANGLEUCL6</t>
  </si>
  <si>
    <t>ANGLEUCL5</t>
  </si>
  <si>
    <t>ANGLEUCL4</t>
  </si>
  <si>
    <t>ANGLEUCL3</t>
  </si>
  <si>
    <t>ANGLEUCL2</t>
  </si>
  <si>
    <t>ANGLEUCL1</t>
  </si>
  <si>
    <t>ANGLEUCL0</t>
  </si>
  <si>
    <t>ANGLELCL7</t>
  </si>
  <si>
    <t>ANGLELCL6</t>
  </si>
  <si>
    <t>ANGLELCL5</t>
  </si>
  <si>
    <t>ANGLELCL4</t>
  </si>
  <si>
    <t>ANGLELCL3</t>
  </si>
  <si>
    <t>ANGLELCL2</t>
  </si>
  <si>
    <t>ANGLELCL1</t>
  </si>
  <si>
    <t>ANGLELCL0</t>
  </si>
  <si>
    <t>Configuração Adicional da Aquisição 2</t>
  </si>
  <si>
    <t>DELAY3</t>
  </si>
  <si>
    <t>DELAY2</t>
  </si>
  <si>
    <t>DELAY1</t>
  </si>
  <si>
    <t>DELAY0</t>
  </si>
  <si>
    <t>RESET3</t>
  </si>
  <si>
    <t>RESET2</t>
  </si>
  <si>
    <t>RESET1</t>
  </si>
  <si>
    <t>RESET0</t>
  </si>
  <si>
    <t>RESERV47</t>
  </si>
  <si>
    <t>RESERV46</t>
  </si>
  <si>
    <t>RESERV45</t>
  </si>
  <si>
    <t>RESERV44</t>
  </si>
  <si>
    <t>RESERV43</t>
  </si>
  <si>
    <t>RESERV42</t>
  </si>
  <si>
    <t>RESERV41</t>
  </si>
  <si>
    <t>RESERV40</t>
  </si>
  <si>
    <t>RESERV39</t>
  </si>
  <si>
    <t>RESERV38</t>
  </si>
  <si>
    <t>RESERV37</t>
  </si>
  <si>
    <t>RESERV36</t>
  </si>
  <si>
    <t>RESERV35</t>
  </si>
  <si>
    <t>RESERV34</t>
  </si>
  <si>
    <t>RESERV33</t>
  </si>
  <si>
    <t>RESERV32</t>
  </si>
  <si>
    <t>RESERV31</t>
  </si>
  <si>
    <t>RESERV30</t>
  </si>
  <si>
    <t>RESERV29</t>
  </si>
  <si>
    <t>RESERV28</t>
  </si>
  <si>
    <t>RESERV27</t>
  </si>
  <si>
    <t>RESERV26</t>
  </si>
  <si>
    <t>RESERV25</t>
  </si>
  <si>
    <t>RESERV24</t>
  </si>
  <si>
    <t>RESERV23</t>
  </si>
  <si>
    <t>RESERV22</t>
  </si>
  <si>
    <t>RESERV21</t>
  </si>
  <si>
    <t>RESERV20</t>
  </si>
  <si>
    <t>RESERV19</t>
  </si>
  <si>
    <t>RESERV18</t>
  </si>
  <si>
    <t>RESERV17</t>
  </si>
  <si>
    <t>RESERV16</t>
  </si>
  <si>
    <t>Lê Configuração Adicional da Aquisição</t>
  </si>
  <si>
    <t>Lê Configuração Adicional da Aquisição 2</t>
  </si>
  <si>
    <t xml:space="preserve"> Grava Offset</t>
  </si>
  <si>
    <t>TORQUEOFFSET7</t>
  </si>
  <si>
    <t>TORQUEOFFSET6</t>
  </si>
  <si>
    <t>TORQUEOFFSET5</t>
  </si>
  <si>
    <t>TORQUEOFFSET4</t>
  </si>
  <si>
    <t>TORQUEOFFSET3</t>
  </si>
  <si>
    <t>TORQUEOFFSET2</t>
  </si>
  <si>
    <t>TORQUEOFFSET1</t>
  </si>
  <si>
    <t>TORQUEOFFSET0</t>
  </si>
  <si>
    <t>1 st</t>
  </si>
  <si>
    <t>2 st</t>
  </si>
  <si>
    <t>3 st</t>
  </si>
  <si>
    <t>4 st</t>
  </si>
  <si>
    <t>5 st</t>
  </si>
  <si>
    <t>6 st</t>
  </si>
  <si>
    <t>7 st</t>
  </si>
  <si>
    <t>8 st</t>
  </si>
  <si>
    <t>9 st</t>
  </si>
  <si>
    <t>Repete tempos em tempos</t>
  </si>
  <si>
    <t>10 st</t>
  </si>
  <si>
    <t>11 st</t>
  </si>
  <si>
    <t>12 st</t>
  </si>
  <si>
    <t>PROTOCOLO TRANSDUTOR - Documento de Funcionamento (versão inicial)</t>
  </si>
  <si>
    <t>Autor: Copilot Space / analisado a partir do log C# em 2025-11-19</t>
  </si>
  <si>
    <t>Linguagem: português simples</t>
  </si>
  <si>
    <t>1) Visão geral</t>
  </si>
  <si>
    <t>- Comunicação: TCP/IP (no log aparece ETH CONNECTED 192.168.4.1:23).</t>
  </si>
  <si>
    <t>- Formato de quadro: mensagens ASCII entre colchetes [ ... CRC ].</t>
  </si>
  <si>
    <t xml:space="preserve">  - O log apresenta duas fases: "TX (pre-CRC)" (mensagem sem CRC) e "TX Bytes" (frame completo entre colchetes com CRC).</t>
  </si>
  <si>
    <t xml:space="preserve">  - Exemplo: pre-CRC -&gt; 00000F311550ID ; TX Bytes -&gt; [00000F311550IDC1]</t>
  </si>
  <si>
    <t>- Algumas respostas podem chegar fragmentadas (socket read partial) e devem ser concatenadas até o ']' final.</t>
  </si>
  <si>
    <t>2) Comandos principais (resumo simples)</t>
  </si>
  <si>
    <t>- ID: solicita identificação do dispositivo (broadcast). Resposta contém ID do dispositivo.</t>
  </si>
  <si>
    <t>- DI: lê informações do dispositivo (nome, versão, modelo).</t>
  </si>
  <si>
    <t>- DS: lê status do dispositivo (várias flags e parâmetros).</t>
  </si>
  <si>
    <t>- ZO: zero offset (zera referência de torque/ângulo).</t>
  </si>
  <si>
    <t>- SA: configura parâmetros de aquisição (ex.: amostragem, filtros).</t>
  </si>
  <si>
    <t>- SB / SC: configurações adicionais da aquisição (SB é um bloco grande de parâmetros).</t>
  </si>
  <si>
    <t>- LS: lê status da aquisição (pronto / em andamento / flags).</t>
  </si>
  <si>
    <t>- GD: get data — baixa blocos de dados amostrados (pontos da curva). É dividido em blocos (idx) e cada bloco contém um número conhecido de samples (ex.: 100 por bloco, último bloco menor).</t>
  </si>
  <si>
    <t>3) Framing e CRC</t>
  </si>
  <si>
    <t>- Mensagens devem ser enviadas no formato com colchetes e CRC no final. O C# registra o CRC calculado já na "TX Bytes".</t>
  </si>
  <si>
    <t>- Receber: aceitar dados massageados, montar buffer até ']' e então validar CRC.</t>
  </si>
  <si>
    <t>4) Transferência GD (dados amostrados)</t>
  </si>
  <si>
    <t>- Fluxo observado:</t>
  </si>
  <si>
    <t xml:space="preserve">  - App envia GD_REQUEST idx=N start=S size=100 step=1 (função montando "GD&lt;start_hex&gt;&lt;size_hex&gt;..." etc).</t>
  </si>
  <si>
    <t xml:space="preserve">  - Dispositivo responde com blocos GD RECEIVED contendo payload binário (muitos bytes).</t>
  </si>
  <si>
    <t xml:space="preserve">  - Cada GD_RECEIVED contém vários registros de amostra (o formato exato dos bytes exige análise do firmware, mas o C# interpreta e soma parsedSamples=100 em cada bloco).</t>
  </si>
  <si>
    <t xml:space="preserve">  - Sumarizar blocos até receber o último idx e então GD COMPLETE totalSamples=X.</t>
  </si>
  <si>
    <t>- Observado: GD block size no log parece ser 518 bytes por bloco (inclui header e CRC). O parser do C# trata concatenações parciais.</t>
  </si>
  <si>
    <t>5) Erros e timeouts observados</t>
  </si>
  <si>
    <t>6) Observações sobre conteúdo dos blocos GD</t>
  </si>
  <si>
    <t>- Cada bloco GD no log contém múltiplos “pares”/registros com padrões constantes (ex.: 01 62 21 00 00 01 62 21 00 00 ...). O formato exato dos registros (quantos bytes por sample, ordem dos bytes, sinal) deve ser confirmado pelo firmware, mas a presença de muitos pares 00/00 sugere que cada sample é representado por 2 bytes (LSB+MSB) com possível prefixo de canal ou índice.</t>
  </si>
  <si>
    <t>- Recomendação: consultar o código do firmware anexado para mapear exatamente o formato (nome de função que envia GD, packing dos samples). Atualize este documento com a interpretação exata assim que for confirmada.</t>
  </si>
  <si>
    <t>7) Recomendações de implementação (resumido)</t>
  </si>
  <si>
    <t>- Criar um parser robusto de quadros TCP que:</t>
  </si>
  <si>
    <t xml:space="preserve">  - Junta reads parciais até ']', valida CRC, despacha frame para handler.</t>
  </si>
  <si>
    <t>- Implementar a state machine na ordem do diagrama (ID-&gt;DI-&gt;RC-&gt;DS-&gt;ZO-&gt;CS-&gt;SA-&gt;SB-&gt;SC-&gt;TQ-&gt;LS-&gt;GD).</t>
  </si>
  <si>
    <t>- Reenvio (retry/backoff) para comandos críticos (SB, SC, GD) em caso de timeout ou ER responses.</t>
  </si>
  <si>
    <t>- Log detalhado (TX pre-CRC, TX Bytes, RX partials, RX full) para fácil comparação com o comportamento do C#.</t>
  </si>
  <si>
    <t>8) Itens a confirmar no firmware (tarefas)</t>
  </si>
  <si>
    <t>- Exato algoritmo CRC usado (necessário para gerar as mensagens corretas).</t>
  </si>
  <si>
    <t>- Formato de payload GD (bytes por amostra, endianess, presença de índices/channels).</t>
  </si>
  <si>
    <t>- Significado exato de ER03C4 (por que o dispositivo rejeita SB em certas condições).</t>
  </si>
  <si>
    <t>- Procedimentos para SA/SB/SC (valores esperados/limites).</t>
  </si>
  <si>
    <t>9) Notas finais</t>
  </si>
  <si>
    <t>- O log analisado demonstra conformidade com a sequência da imagem. As diferenças são principalmente temporais (retransmissões e timeouts) e a presença de duas aquisições completas (1427 e 1008 samples).</t>
  </si>
  <si>
    <t>- Próxima entrega sugerida: implementar parser CRC + state machine em phoenix_transducer.dart e conectar à UI em connect_page.dart, seguir os pontos do item 7.</t>
  </si>
  <si>
    <t>(Atualize este documento sempre que houver novos aprendizados do firmware ou logs de testes. Nome do arquivo: ProtocolDocument.txt dentro da pasta "PROTOCOLO TRANSDUTOR".)</t>
  </si>
  <si>
    <t>TX</t>
  </si>
  <si>
    <t>RX</t>
  </si>
  <si>
    <t>[00000F311550DI00886   MSRT-75-38                      2.001.310100007521340150C45B000001F40000000029]</t>
  </si>
  <si>
    <t>[00000F311550DS91]</t>
  </si>
  <si>
    <t>[00000F311550DSB8007B2501010401010D7503E800030000039300008D83C6]</t>
  </si>
  <si>
    <t>[00000F311550ZO10C1]</t>
  </si>
  <si>
    <t>[00000F311550ZO000091640000000022]</t>
  </si>
  <si>
    <t>[00000F311550SA000161FB0000587E0190000101F40001E5]</t>
  </si>
  <si>
    <t>[00000F311550SA009E]</t>
  </si>
  <si>
    <t>[00000F311550CS1E1E1490]</t>
  </si>
  <si>
    <t>[00000F311550CS00F9]</t>
  </si>
  <si>
    <t>[00000F311550SB0002C3F6000425F1000161FB000000C80000025800000014000000002A]</t>
  </si>
  <si>
    <t>[00000F311550SC003200320000000000000000000000000000000000000000000000000F]</t>
  </si>
  <si>
    <t>[00000F311550SC005C]</t>
  </si>
  <si>
    <t>[00000F311550TQ86]</t>
  </si>
  <si>
    <t>[00000F311550TQFFFFFB0300000000B8]</t>
  </si>
  <si>
    <t>[00000F311550LS2D]</t>
  </si>
  <si>
    <t>[00000F311550LS030009AF09B006ED082000084F5D000000000000000037]</t>
  </si>
  <si>
    <t>[00000F311550GD0000640108]</t>
  </si>
  <si>
    <t>[03000F311550GDcécéfIh§kmZo®qþtKv–xà{(}o³ö„9†}ˆÂP›‘è”6–„˜Ð›hŸ¶¢¤W¦ª¨{FF}«X­´°²z´ã·R¹Å¼?¾ÁÁMÃæÆÉDÌÎêÑØÔ××æÛÞ/áfä©ç÷ëSî¹ò+õ¦ù+ü¸Nì8ä•MÒ! %u)P-.14ö8ß&lt;Ì@¾D·H´L·PÀTÎXâ\ûae6iTmsqŽu§yº}ÈÐ…Ð‰Ê½‘¬•”2B]</t>
  </si>
  <si>
    <t>[00000F311550ER03C4]</t>
  </si>
  <si>
    <t>[00000F311550RCA7]</t>
  </si>
  <si>
    <t>[00000F311550RC00000C8500000000000000000000000000000000AB]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</si>
</sst>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ED0000"/>
      <name val="Calibri"/>
      <family val="2"/>
      <scheme val="minor"/>
    </font>
    <font>
      <sz val="11"/>
      <color rgb="FF388600"/>
      <name val="Calibri"/>
      <family val="2"/>
      <scheme val="minor"/>
    </font>
    <font>
      <sz val="11"/>
      <color theme="4"/>
      <name val="Calibri"/>
      <family val="2"/>
      <scheme val="minor"/>
    </font>
    <font>
      <sz val="12"/>
      <color rgb="FF1F2328"/>
      <name val="Segoe UI"/>
      <family val="2"/>
    </font>
    <font>
      <sz val="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5D3FF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29B95C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left" vertical="center" wrapText="1" indent="1"/>
    </xf>
    <xf numFmtId="0" fontId="5" fillId="0" borderId="0" xfId="0" applyFont="1" applyAlignment="1">
      <alignment horizontal="center"/>
    </xf>
    <xf numFmtId="0" fontId="5" fillId="0" borderId="0" xfId="0" applyFont="1"/>
    <xf numFmtId="0" fontId="5" fillId="0" borderId="1" xfId="0" applyFont="1" applyBorder="1" applyAlignment="1">
      <alignment horizontal="center"/>
    </xf>
    <xf numFmtId="0" fontId="5" fillId="8" borderId="0" xfId="0" applyFont="1" applyFill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3" borderId="0" xfId="0" applyFont="1" applyFill="1"/>
    <xf numFmtId="11" fontId="5" fillId="3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5" fillId="3" borderId="1" xfId="0" applyFont="1" applyFill="1" applyBorder="1"/>
    <xf numFmtId="0" fontId="5" fillId="3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4" borderId="1" xfId="0" applyFont="1" applyFill="1" applyBorder="1"/>
    <xf numFmtId="0" fontId="5" fillId="4" borderId="0" xfId="0" applyFont="1" applyFill="1"/>
    <xf numFmtId="0" fontId="6" fillId="0" borderId="0" xfId="0" applyFont="1" applyAlignment="1">
      <alignment horizontal="center"/>
    </xf>
    <xf numFmtId="0" fontId="0" fillId="9" borderId="0" xfId="0" applyFill="1"/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180974</xdr:colOff>
      <xdr:row>3</xdr:row>
      <xdr:rowOff>133350</xdr:rowOff>
    </xdr:from>
    <xdr:to>
      <xdr:col>24</xdr:col>
      <xdr:colOff>491547</xdr:colOff>
      <xdr:row>27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B6DFE1-7ACA-7FEE-4D62-2421417FE7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19374" y="704850"/>
          <a:ext cx="12502573" cy="4533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B0DFD-60CF-4B41-B2F6-CFF7772E51A7}">
  <dimension ref="A4:AA21"/>
  <sheetViews>
    <sheetView zoomScale="120" zoomScaleNormal="120" workbookViewId="0">
      <selection activeCell="A23" sqref="A23"/>
    </sheetView>
  </sheetViews>
  <sheetFormatPr defaultRowHeight="15" x14ac:dyDescent="0.25"/>
  <cols>
    <col min="1" max="1" width="93.42578125" style="5" bestFit="1" customWidth="1"/>
    <col min="2" max="14" width="3.7109375" customWidth="1"/>
    <col min="15" max="15" width="4.85546875" customWidth="1"/>
    <col min="16" max="16" width="4.7109375" customWidth="1"/>
    <col min="17" max="24" width="3.7109375" customWidth="1"/>
    <col min="25" max="25" width="7.28515625" customWidth="1"/>
    <col min="26" max="26" width="6.42578125" customWidth="1"/>
    <col min="27" max="27" width="5.5703125" customWidth="1"/>
  </cols>
  <sheetData>
    <row r="4" spans="1:27" x14ac:dyDescent="0.25">
      <c r="B4" s="3" t="s">
        <v>0</v>
      </c>
      <c r="C4" s="27" t="s">
        <v>1</v>
      </c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8" t="s">
        <v>2</v>
      </c>
      <c r="P4" s="28"/>
      <c r="Q4" s="29" t="s">
        <v>3</v>
      </c>
      <c r="R4" s="29"/>
      <c r="S4" s="29"/>
      <c r="T4" s="29"/>
      <c r="U4" s="29"/>
      <c r="V4" s="29"/>
      <c r="W4" s="29"/>
      <c r="X4" s="29"/>
      <c r="Y4" s="30" t="s">
        <v>4</v>
      </c>
      <c r="Z4" s="30"/>
      <c r="AA4" s="4" t="s">
        <v>5</v>
      </c>
    </row>
    <row r="5" spans="1:27" x14ac:dyDescent="0.25">
      <c r="B5" s="4" t="s">
        <v>6</v>
      </c>
      <c r="C5" s="2">
        <v>0</v>
      </c>
      <c r="D5" s="2">
        <v>1</v>
      </c>
      <c r="E5" s="2">
        <v>2</v>
      </c>
      <c r="F5" s="2">
        <v>3</v>
      </c>
      <c r="G5" s="2">
        <v>4</v>
      </c>
      <c r="H5" s="2">
        <v>5</v>
      </c>
      <c r="I5" s="2">
        <v>6</v>
      </c>
      <c r="J5" s="2">
        <v>7</v>
      </c>
      <c r="K5" s="2">
        <v>8</v>
      </c>
      <c r="L5" s="2">
        <v>9</v>
      </c>
      <c r="M5" s="2" t="s">
        <v>7</v>
      </c>
      <c r="N5" s="2" t="s">
        <v>8</v>
      </c>
      <c r="O5" s="2" t="s">
        <v>7</v>
      </c>
      <c r="P5" s="2" t="s">
        <v>7</v>
      </c>
      <c r="Q5" s="1" t="s">
        <v>9</v>
      </c>
      <c r="R5" s="1" t="s">
        <v>9</v>
      </c>
      <c r="S5" s="1" t="s">
        <v>9</v>
      </c>
      <c r="T5" s="1" t="s">
        <v>9</v>
      </c>
      <c r="U5" s="1" t="s">
        <v>9</v>
      </c>
      <c r="V5" s="1" t="s">
        <v>9</v>
      </c>
      <c r="W5" s="1" t="s">
        <v>9</v>
      </c>
      <c r="X5" s="1" t="s">
        <v>9</v>
      </c>
      <c r="Y5" s="2" t="s">
        <v>10</v>
      </c>
      <c r="Z5" s="2" t="s">
        <v>10</v>
      </c>
      <c r="AA5" s="4" t="s">
        <v>11</v>
      </c>
    </row>
    <row r="6" spans="1:27" s="5" customFormat="1" x14ac:dyDescent="0.25">
      <c r="A6" s="5" t="s">
        <v>12</v>
      </c>
      <c r="B6" s="5" t="str">
        <f>LEFT(A6,1)</f>
        <v>[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 t="s">
        <v>13</v>
      </c>
      <c r="P6" s="5" t="s">
        <v>9</v>
      </c>
    </row>
    <row r="7" spans="1:27" s="5" customFormat="1" x14ac:dyDescent="0.25">
      <c r="A7" s="5" t="s">
        <v>14</v>
      </c>
      <c r="B7" s="5" t="str">
        <f t="shared" ref="B7:B10" si="0">LEFT(A7,1)</f>
        <v>[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 t="s">
        <v>15</v>
      </c>
      <c r="I7" s="5">
        <v>3</v>
      </c>
      <c r="J7" s="5">
        <v>1</v>
      </c>
      <c r="K7" s="5">
        <v>1</v>
      </c>
      <c r="L7" s="5">
        <v>5</v>
      </c>
      <c r="M7" s="5">
        <v>5</v>
      </c>
      <c r="N7" s="5">
        <v>0</v>
      </c>
      <c r="O7" s="5" t="s">
        <v>13</v>
      </c>
      <c r="P7" s="5" t="s">
        <v>9</v>
      </c>
      <c r="Q7" s="5">
        <v>1</v>
      </c>
      <c r="R7" s="5">
        <v>7</v>
      </c>
    </row>
    <row r="8" spans="1:27" s="5" customFormat="1" x14ac:dyDescent="0.25">
      <c r="A8" s="5" t="s">
        <v>16</v>
      </c>
      <c r="B8" s="5" t="str">
        <f t="shared" si="0"/>
        <v>[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 t="s">
        <v>15</v>
      </c>
      <c r="I8" s="5">
        <v>3</v>
      </c>
      <c r="J8" s="5">
        <v>1</v>
      </c>
      <c r="K8" s="5">
        <v>1</v>
      </c>
      <c r="L8" s="5">
        <v>5</v>
      </c>
      <c r="M8" s="5">
        <v>5</v>
      </c>
      <c r="N8" s="5">
        <v>0</v>
      </c>
      <c r="O8" s="5" t="s">
        <v>9</v>
      </c>
      <c r="P8" s="5" t="s">
        <v>13</v>
      </c>
      <c r="Q8" s="5" t="s">
        <v>10</v>
      </c>
      <c r="R8" s="5" t="s">
        <v>10</v>
      </c>
    </row>
    <row r="9" spans="1:27" s="5" customFormat="1" x14ac:dyDescent="0.25">
      <c r="A9" s="5" t="s">
        <v>21</v>
      </c>
      <c r="B9" s="5" t="str">
        <f t="shared" si="0"/>
        <v>[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 t="s">
        <v>15</v>
      </c>
      <c r="I9" s="5">
        <v>3</v>
      </c>
      <c r="J9" s="5">
        <v>1</v>
      </c>
      <c r="K9" s="5">
        <v>1</v>
      </c>
      <c r="L9" s="5">
        <v>5</v>
      </c>
      <c r="M9" s="5">
        <v>5</v>
      </c>
      <c r="N9" s="5">
        <v>0</v>
      </c>
      <c r="O9" s="5" t="s">
        <v>9</v>
      </c>
      <c r="P9" s="5" t="s">
        <v>13</v>
      </c>
      <c r="Q9" s="5">
        <v>0</v>
      </c>
      <c r="R9" s="5">
        <v>0</v>
      </c>
      <c r="S9" s="5">
        <v>8</v>
      </c>
      <c r="T9" s="5">
        <v>8</v>
      </c>
      <c r="U9" s="5">
        <v>6</v>
      </c>
      <c r="X9" s="5" t="s">
        <v>17</v>
      </c>
      <c r="Y9" s="5" t="s">
        <v>18</v>
      </c>
      <c r="Z9" s="5" t="s">
        <v>19</v>
      </c>
      <c r="AA9" s="5" t="s">
        <v>20</v>
      </c>
    </row>
    <row r="10" spans="1:27" s="5" customFormat="1" x14ac:dyDescent="0.25">
      <c r="B10" s="5" t="str">
        <f t="shared" si="0"/>
        <v/>
      </c>
    </row>
    <row r="11" spans="1:27" s="5" customFormat="1" x14ac:dyDescent="0.25"/>
    <row r="12" spans="1:27" s="5" customFormat="1" x14ac:dyDescent="0.25"/>
    <row r="13" spans="1:27" s="5" customFormat="1" x14ac:dyDescent="0.25"/>
    <row r="14" spans="1:27" s="5" customFormat="1" x14ac:dyDescent="0.25"/>
    <row r="15" spans="1:27" s="5" customFormat="1" x14ac:dyDescent="0.25"/>
    <row r="16" spans="1:27" s="5" customFormat="1" x14ac:dyDescent="0.25"/>
    <row r="17" s="5" customFormat="1" x14ac:dyDescent="0.25"/>
    <row r="18" s="5" customFormat="1" x14ac:dyDescent="0.25"/>
    <row r="19" s="5" customFormat="1" x14ac:dyDescent="0.25"/>
    <row r="20" s="5" customFormat="1" x14ac:dyDescent="0.25"/>
    <row r="21" s="5" customFormat="1" x14ac:dyDescent="0.25"/>
  </sheetData>
  <mergeCells count="4">
    <mergeCell ref="C4:N4"/>
    <mergeCell ref="O4:P4"/>
    <mergeCell ref="Q4:X4"/>
    <mergeCell ref="Y4:Z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79C60-40A3-42F6-8241-31E61E0F6516}">
  <dimension ref="A1:A4"/>
  <sheetViews>
    <sheetView workbookViewId="0">
      <selection activeCell="A22" sqref="A22"/>
    </sheetView>
  </sheetViews>
  <sheetFormatPr defaultRowHeight="15" x14ac:dyDescent="0.25"/>
  <cols>
    <col min="1" max="1" width="93.85546875" customWidth="1"/>
  </cols>
  <sheetData>
    <row r="1" spans="1:1" ht="17.25" x14ac:dyDescent="0.25">
      <c r="A1" s="6" t="s">
        <v>22</v>
      </c>
    </row>
    <row r="2" spans="1:1" ht="17.25" x14ac:dyDescent="0.25">
      <c r="A2" s="6" t="s">
        <v>23</v>
      </c>
    </row>
    <row r="3" spans="1:1" ht="17.25" x14ac:dyDescent="0.25">
      <c r="A3" s="6" t="s">
        <v>24</v>
      </c>
    </row>
    <row r="4" spans="1:1" ht="17.25" x14ac:dyDescent="0.25">
      <c r="A4" s="6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81A74-ABF4-4057-9291-C3B195463058}">
  <dimension ref="A1"/>
  <sheetViews>
    <sheetView workbookViewId="0">
      <selection activeCell="V30" sqref="V30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56F73-3FB4-49F6-9851-B8C0569C13B9}">
  <sheetPr>
    <pageSetUpPr fitToPage="1"/>
  </sheetPr>
  <dimension ref="A1:DU68"/>
  <sheetViews>
    <sheetView zoomScale="145" zoomScaleNormal="145" workbookViewId="0">
      <selection activeCell="A10" sqref="A10:A11"/>
    </sheetView>
  </sheetViews>
  <sheetFormatPr defaultColWidth="9.140625" defaultRowHeight="11.25" x14ac:dyDescent="0.2"/>
  <cols>
    <col min="1" max="1" width="34.42578125" style="7" bestFit="1" customWidth="1"/>
    <col min="2" max="2" width="8.42578125" style="7" customWidth="1"/>
    <col min="3" max="3" width="5.140625" style="7" bestFit="1" customWidth="1"/>
    <col min="4" max="15" width="5.140625" style="7" customWidth="1"/>
    <col min="16" max="17" width="6" style="7" bestFit="1" customWidth="1"/>
    <col min="18" max="25" width="12" style="7" bestFit="1" customWidth="1"/>
    <col min="26" max="26" width="11.5703125" style="7" bestFit="1" customWidth="1"/>
    <col min="27" max="33" width="12.42578125" style="7" bestFit="1" customWidth="1"/>
    <col min="34" max="34" width="11.42578125" style="7" bestFit="1" customWidth="1"/>
    <col min="35" max="35" width="11.28515625" style="7" bestFit="1" customWidth="1"/>
    <col min="36" max="41" width="9.42578125" style="7" bestFit="1" customWidth="1"/>
    <col min="42" max="50" width="11" style="7" bestFit="1" customWidth="1"/>
    <col min="51" max="53" width="9.42578125" style="7" bestFit="1" customWidth="1"/>
    <col min="54" max="58" width="8.7109375" style="7" bestFit="1" customWidth="1"/>
    <col min="59" max="65" width="8.42578125" style="7" bestFit="1" customWidth="1"/>
    <col min="66" max="73" width="7" style="7" customWidth="1"/>
    <col min="74" max="74" width="7.5703125" style="7" bestFit="1" customWidth="1"/>
    <col min="75" max="77" width="7" style="7" customWidth="1"/>
    <col min="78" max="85" width="9" style="7" bestFit="1" customWidth="1"/>
    <col min="86" max="87" width="8.140625" style="7" bestFit="1" customWidth="1"/>
    <col min="88" max="16384" width="9.140625" style="8"/>
  </cols>
  <sheetData>
    <row r="1" spans="1:125" x14ac:dyDescent="0.2">
      <c r="P1" s="7">
        <v>0</v>
      </c>
      <c r="Q1" s="7">
        <v>1</v>
      </c>
      <c r="R1" s="7">
        <v>2</v>
      </c>
      <c r="S1" s="7">
        <v>3</v>
      </c>
      <c r="T1" s="7">
        <v>4</v>
      </c>
      <c r="U1" s="7">
        <v>5</v>
      </c>
      <c r="V1" s="7">
        <v>6</v>
      </c>
      <c r="W1" s="7">
        <v>7</v>
      </c>
      <c r="X1" s="7">
        <v>8</v>
      </c>
      <c r="Y1" s="7">
        <v>9</v>
      </c>
      <c r="Z1" s="7">
        <v>10</v>
      </c>
      <c r="AA1" s="7">
        <v>11</v>
      </c>
      <c r="AB1" s="7">
        <v>12</v>
      </c>
      <c r="AC1" s="7">
        <v>13</v>
      </c>
      <c r="AD1" s="7">
        <v>14</v>
      </c>
      <c r="AE1" s="7">
        <v>15</v>
      </c>
      <c r="AF1" s="7">
        <v>16</v>
      </c>
      <c r="AG1" s="7">
        <v>17</v>
      </c>
      <c r="AH1" s="7">
        <v>18</v>
      </c>
      <c r="AI1" s="7">
        <v>19</v>
      </c>
      <c r="AJ1" s="7">
        <v>20</v>
      </c>
      <c r="AK1" s="7">
        <v>21</v>
      </c>
      <c r="AL1" s="7">
        <v>22</v>
      </c>
      <c r="AM1" s="7">
        <v>23</v>
      </c>
      <c r="AN1" s="7">
        <v>24</v>
      </c>
      <c r="AO1" s="7">
        <v>25</v>
      </c>
      <c r="AP1" s="7">
        <v>26</v>
      </c>
      <c r="AQ1" s="7">
        <v>27</v>
      </c>
      <c r="AR1" s="7">
        <v>28</v>
      </c>
      <c r="AS1" s="7">
        <v>29</v>
      </c>
      <c r="AT1" s="7">
        <v>30</v>
      </c>
      <c r="AU1" s="7">
        <v>31</v>
      </c>
      <c r="AV1" s="7">
        <v>32</v>
      </c>
      <c r="AW1" s="7">
        <v>33</v>
      </c>
      <c r="AX1" s="7">
        <v>34</v>
      </c>
      <c r="AY1" s="7">
        <v>35</v>
      </c>
      <c r="AZ1" s="7">
        <v>36</v>
      </c>
      <c r="BA1" s="7">
        <v>37</v>
      </c>
      <c r="BB1" s="7">
        <v>38</v>
      </c>
      <c r="BC1" s="7">
        <v>39</v>
      </c>
      <c r="BD1" s="7">
        <v>40</v>
      </c>
      <c r="BE1" s="7">
        <v>41</v>
      </c>
      <c r="BF1" s="7">
        <v>42</v>
      </c>
      <c r="BG1" s="7">
        <v>43</v>
      </c>
      <c r="BH1" s="7">
        <v>44</v>
      </c>
      <c r="BI1" s="7">
        <v>45</v>
      </c>
      <c r="BJ1" s="7">
        <v>46</v>
      </c>
      <c r="BK1" s="7">
        <v>47</v>
      </c>
      <c r="BL1" s="7">
        <v>48</v>
      </c>
      <c r="BM1" s="7">
        <v>49</v>
      </c>
      <c r="BN1" s="7">
        <v>50</v>
      </c>
      <c r="BO1" s="7">
        <v>51</v>
      </c>
      <c r="BP1" s="7">
        <v>52</v>
      </c>
      <c r="BQ1" s="7">
        <v>53</v>
      </c>
      <c r="BR1" s="7">
        <v>54</v>
      </c>
      <c r="BS1" s="7">
        <v>55</v>
      </c>
      <c r="BT1" s="7">
        <v>56</v>
      </c>
      <c r="BU1" s="7">
        <v>57</v>
      </c>
      <c r="BV1" s="7">
        <v>58</v>
      </c>
      <c r="BW1" s="7">
        <v>59</v>
      </c>
      <c r="BX1" s="7">
        <v>60</v>
      </c>
      <c r="BY1" s="7">
        <v>61</v>
      </c>
      <c r="BZ1" s="7">
        <v>62</v>
      </c>
      <c r="CA1" s="7">
        <v>63</v>
      </c>
      <c r="CB1" s="7">
        <v>64</v>
      </c>
      <c r="CC1" s="7">
        <v>65</v>
      </c>
      <c r="CD1" s="7">
        <v>66</v>
      </c>
      <c r="CE1" s="7">
        <v>67</v>
      </c>
      <c r="CF1" s="7">
        <v>68</v>
      </c>
      <c r="CG1" s="7">
        <v>69</v>
      </c>
      <c r="CH1" s="7">
        <v>70</v>
      </c>
      <c r="CI1" s="7">
        <v>71</v>
      </c>
      <c r="CJ1" s="7">
        <v>72</v>
      </c>
      <c r="CK1" s="7">
        <v>73</v>
      </c>
      <c r="CL1" s="7">
        <v>74</v>
      </c>
      <c r="CM1" s="7">
        <v>75</v>
      </c>
      <c r="CN1" s="7">
        <v>76</v>
      </c>
      <c r="CO1" s="7">
        <v>77</v>
      </c>
      <c r="CP1" s="7">
        <v>78</v>
      </c>
      <c r="CQ1" s="7">
        <v>79</v>
      </c>
      <c r="CR1" s="7">
        <v>80</v>
      </c>
      <c r="CS1" s="7">
        <v>81</v>
      </c>
      <c r="CT1" s="7">
        <v>82</v>
      </c>
      <c r="CU1" s="7">
        <v>83</v>
      </c>
      <c r="CV1" s="7">
        <v>84</v>
      </c>
      <c r="CW1" s="7">
        <v>85</v>
      </c>
      <c r="CX1" s="7">
        <v>86</v>
      </c>
      <c r="CY1" s="7">
        <v>87</v>
      </c>
      <c r="CZ1" s="7">
        <v>88</v>
      </c>
      <c r="DA1" s="7">
        <v>89</v>
      </c>
      <c r="DB1" s="7">
        <v>90</v>
      </c>
      <c r="DC1" s="7">
        <v>91</v>
      </c>
      <c r="DD1" s="7">
        <v>92</v>
      </c>
      <c r="DE1" s="7">
        <v>93</v>
      </c>
      <c r="DF1" s="7">
        <v>94</v>
      </c>
      <c r="DG1" s="7">
        <v>95</v>
      </c>
      <c r="DH1" s="7">
        <v>96</v>
      </c>
      <c r="DI1" s="7">
        <v>97</v>
      </c>
    </row>
    <row r="2" spans="1:125" x14ac:dyDescent="0.2">
      <c r="C2" s="33" t="s">
        <v>26</v>
      </c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 t="s">
        <v>2</v>
      </c>
      <c r="Q2" s="33"/>
      <c r="R2" s="10">
        <v>0</v>
      </c>
      <c r="S2" s="10">
        <v>1</v>
      </c>
      <c r="T2" s="10">
        <v>2</v>
      </c>
      <c r="U2" s="10">
        <v>3</v>
      </c>
      <c r="V2" s="10">
        <v>4</v>
      </c>
      <c r="W2" s="10">
        <v>5</v>
      </c>
      <c r="X2" s="10">
        <v>6</v>
      </c>
      <c r="Y2" s="10">
        <v>7</v>
      </c>
      <c r="Z2" s="10">
        <v>8</v>
      </c>
      <c r="AA2" s="10">
        <v>9</v>
      </c>
      <c r="AB2" s="10">
        <v>10</v>
      </c>
      <c r="AC2" s="10">
        <v>11</v>
      </c>
      <c r="AD2" s="10">
        <v>12</v>
      </c>
      <c r="AE2" s="10">
        <v>13</v>
      </c>
      <c r="AF2" s="10">
        <v>14</v>
      </c>
      <c r="AG2" s="10">
        <v>15</v>
      </c>
      <c r="AH2" s="10">
        <v>16</v>
      </c>
      <c r="AI2" s="10">
        <v>17</v>
      </c>
      <c r="AJ2" s="10">
        <v>18</v>
      </c>
      <c r="AK2" s="10">
        <v>19</v>
      </c>
      <c r="AL2" s="10">
        <v>20</v>
      </c>
      <c r="AM2" s="10">
        <v>21</v>
      </c>
      <c r="AN2" s="10">
        <v>22</v>
      </c>
      <c r="AO2" s="10">
        <v>23</v>
      </c>
      <c r="AP2" s="10">
        <v>24</v>
      </c>
      <c r="AQ2" s="10">
        <v>25</v>
      </c>
      <c r="AR2" s="10">
        <v>26</v>
      </c>
      <c r="AS2" s="10">
        <v>27</v>
      </c>
      <c r="AT2" s="10">
        <v>28</v>
      </c>
      <c r="AU2" s="10">
        <v>29</v>
      </c>
      <c r="AV2" s="10">
        <v>30</v>
      </c>
      <c r="AW2" s="10">
        <v>31</v>
      </c>
      <c r="AX2" s="10">
        <v>32</v>
      </c>
      <c r="AY2" s="10">
        <v>33</v>
      </c>
      <c r="AZ2" s="10">
        <v>34</v>
      </c>
      <c r="BA2" s="10">
        <v>35</v>
      </c>
      <c r="BB2" s="10">
        <v>36</v>
      </c>
      <c r="BC2" s="10">
        <v>37</v>
      </c>
      <c r="BD2" s="10">
        <v>38</v>
      </c>
      <c r="BE2" s="10">
        <v>39</v>
      </c>
      <c r="BF2" s="10">
        <v>40</v>
      </c>
      <c r="BG2" s="10">
        <v>41</v>
      </c>
      <c r="BH2" s="10">
        <v>42</v>
      </c>
      <c r="BI2" s="10">
        <v>43</v>
      </c>
      <c r="BJ2" s="10">
        <v>44</v>
      </c>
      <c r="BK2" s="10">
        <v>45</v>
      </c>
      <c r="BL2" s="10">
        <v>46</v>
      </c>
      <c r="BM2" s="10">
        <v>47</v>
      </c>
      <c r="BN2" s="10">
        <v>48</v>
      </c>
      <c r="BO2" s="10">
        <v>49</v>
      </c>
      <c r="BP2" s="10">
        <v>50</v>
      </c>
      <c r="BQ2" s="10">
        <v>51</v>
      </c>
      <c r="BR2" s="10">
        <v>52</v>
      </c>
      <c r="BS2" s="10">
        <v>53</v>
      </c>
      <c r="BT2" s="10">
        <v>54</v>
      </c>
      <c r="BU2" s="10">
        <v>55</v>
      </c>
      <c r="BV2" s="10">
        <v>56</v>
      </c>
      <c r="BW2" s="10">
        <v>57</v>
      </c>
      <c r="BX2" s="10">
        <v>58</v>
      </c>
      <c r="BY2" s="10">
        <v>59</v>
      </c>
      <c r="BZ2" s="10">
        <v>60</v>
      </c>
      <c r="CA2" s="10">
        <v>61</v>
      </c>
      <c r="CB2" s="10">
        <v>62</v>
      </c>
      <c r="CC2" s="10">
        <v>63</v>
      </c>
      <c r="CD2" s="10">
        <v>64</v>
      </c>
      <c r="CE2" s="10">
        <v>65</v>
      </c>
      <c r="CF2" s="10">
        <v>66</v>
      </c>
      <c r="CG2" s="10">
        <v>67</v>
      </c>
      <c r="CH2" s="10">
        <v>68</v>
      </c>
      <c r="CI2" s="10">
        <v>69</v>
      </c>
      <c r="CJ2" s="10">
        <v>70</v>
      </c>
      <c r="CK2" s="10">
        <v>71</v>
      </c>
      <c r="CL2" s="10">
        <v>72</v>
      </c>
      <c r="CM2" s="10">
        <v>73</v>
      </c>
      <c r="CN2" s="10">
        <v>74</v>
      </c>
      <c r="CO2" s="10">
        <v>75</v>
      </c>
      <c r="CP2" s="10">
        <v>76</v>
      </c>
      <c r="CQ2" s="10">
        <v>77</v>
      </c>
      <c r="CR2" s="10">
        <v>78</v>
      </c>
      <c r="CS2" s="10">
        <v>79</v>
      </c>
      <c r="CT2" s="10">
        <v>80</v>
      </c>
      <c r="CU2" s="10">
        <v>81</v>
      </c>
      <c r="CV2" s="10">
        <v>82</v>
      </c>
      <c r="CW2" s="10">
        <v>83</v>
      </c>
      <c r="CX2" s="10">
        <v>84</v>
      </c>
      <c r="CY2" s="10">
        <v>85</v>
      </c>
      <c r="CZ2" s="10">
        <v>86</v>
      </c>
      <c r="DA2" s="10">
        <v>87</v>
      </c>
      <c r="DB2" s="10">
        <v>88</v>
      </c>
      <c r="DC2" s="10">
        <v>89</v>
      </c>
      <c r="DD2" s="10">
        <v>90</v>
      </c>
      <c r="DE2" s="10">
        <v>91</v>
      </c>
      <c r="DF2" s="10">
        <v>92</v>
      </c>
      <c r="DG2" s="10">
        <v>93</v>
      </c>
      <c r="DH2" s="10">
        <v>94</v>
      </c>
      <c r="DI2" s="10">
        <v>95</v>
      </c>
    </row>
    <row r="3" spans="1:125" x14ac:dyDescent="0.2">
      <c r="A3" s="9" t="s">
        <v>27</v>
      </c>
      <c r="B3" s="9"/>
      <c r="C3" s="9" t="s">
        <v>28</v>
      </c>
      <c r="D3" s="9" t="s">
        <v>29</v>
      </c>
      <c r="E3" s="9" t="s">
        <v>30</v>
      </c>
      <c r="F3" s="9" t="s">
        <v>31</v>
      </c>
      <c r="G3" s="9" t="s">
        <v>32</v>
      </c>
      <c r="H3" s="9" t="s">
        <v>33</v>
      </c>
      <c r="I3" s="9" t="s">
        <v>34</v>
      </c>
      <c r="J3" s="9" t="s">
        <v>35</v>
      </c>
      <c r="K3" s="9" t="s">
        <v>36</v>
      </c>
      <c r="L3" s="9" t="s">
        <v>37</v>
      </c>
      <c r="M3" s="9" t="s">
        <v>38</v>
      </c>
      <c r="N3" s="9" t="s">
        <v>39</v>
      </c>
      <c r="O3" s="9" t="s">
        <v>40</v>
      </c>
      <c r="P3" s="9" t="s">
        <v>41</v>
      </c>
      <c r="Q3" s="9" t="s">
        <v>42</v>
      </c>
      <c r="R3" s="9" t="s">
        <v>43</v>
      </c>
      <c r="S3" s="9" t="s">
        <v>44</v>
      </c>
      <c r="T3" s="9" t="s">
        <v>45</v>
      </c>
      <c r="U3" s="9" t="s">
        <v>46</v>
      </c>
      <c r="V3" s="9" t="s">
        <v>47</v>
      </c>
      <c r="W3" s="9" t="s">
        <v>48</v>
      </c>
      <c r="X3" s="9" t="s">
        <v>49</v>
      </c>
      <c r="Y3" s="9" t="s">
        <v>50</v>
      </c>
      <c r="Z3" s="9" t="s">
        <v>51</v>
      </c>
      <c r="AA3" s="9" t="s">
        <v>52</v>
      </c>
      <c r="AB3" s="9" t="s">
        <v>53</v>
      </c>
      <c r="AC3" s="9" t="s">
        <v>54</v>
      </c>
      <c r="AD3" s="9" t="s">
        <v>55</v>
      </c>
      <c r="AE3" s="9" t="s">
        <v>56</v>
      </c>
      <c r="AF3" s="9" t="s">
        <v>57</v>
      </c>
      <c r="AG3" s="9" t="s">
        <v>58</v>
      </c>
      <c r="AH3" s="9" t="s">
        <v>59</v>
      </c>
      <c r="AI3" s="9" t="s">
        <v>60</v>
      </c>
      <c r="AJ3" s="9" t="s">
        <v>61</v>
      </c>
      <c r="AK3" s="9" t="s">
        <v>62</v>
      </c>
      <c r="AL3" s="9" t="s">
        <v>63</v>
      </c>
      <c r="AM3" s="9" t="s">
        <v>64</v>
      </c>
      <c r="AN3" s="9" t="s">
        <v>65</v>
      </c>
      <c r="AO3" s="9" t="s">
        <v>66</v>
      </c>
      <c r="AP3" s="9" t="s">
        <v>67</v>
      </c>
      <c r="AQ3" s="9" t="s">
        <v>68</v>
      </c>
      <c r="AR3" s="9" t="s">
        <v>69</v>
      </c>
      <c r="AS3" s="9" t="s">
        <v>70</v>
      </c>
      <c r="AT3" s="9" t="s">
        <v>71</v>
      </c>
      <c r="AU3" s="9" t="s">
        <v>72</v>
      </c>
      <c r="AV3" s="9" t="s">
        <v>73</v>
      </c>
      <c r="AW3" s="9" t="s">
        <v>74</v>
      </c>
      <c r="AX3" s="9" t="s">
        <v>75</v>
      </c>
      <c r="AY3" s="9" t="s">
        <v>76</v>
      </c>
      <c r="AZ3" s="9" t="s">
        <v>77</v>
      </c>
      <c r="BA3" s="9" t="s">
        <v>78</v>
      </c>
      <c r="BB3" s="9" t="s">
        <v>79</v>
      </c>
      <c r="BC3" s="9" t="s">
        <v>80</v>
      </c>
      <c r="BD3" s="9" t="s">
        <v>81</v>
      </c>
      <c r="BE3" s="9" t="s">
        <v>82</v>
      </c>
      <c r="BF3" s="9" t="s">
        <v>83</v>
      </c>
      <c r="BG3" s="9" t="s">
        <v>84</v>
      </c>
      <c r="BH3" s="9" t="s">
        <v>85</v>
      </c>
      <c r="BI3" s="9" t="s">
        <v>86</v>
      </c>
      <c r="BJ3" s="9" t="s">
        <v>87</v>
      </c>
      <c r="BK3" s="9" t="s">
        <v>88</v>
      </c>
      <c r="BL3" s="9" t="s">
        <v>89</v>
      </c>
      <c r="BM3" s="9" t="s">
        <v>90</v>
      </c>
      <c r="BN3" s="9" t="s">
        <v>91</v>
      </c>
      <c r="BO3" s="9" t="s">
        <v>92</v>
      </c>
      <c r="BP3" s="9" t="s">
        <v>93</v>
      </c>
      <c r="BQ3" s="9" t="s">
        <v>94</v>
      </c>
      <c r="BR3" s="9" t="s">
        <v>95</v>
      </c>
      <c r="BS3" s="9" t="s">
        <v>96</v>
      </c>
      <c r="BT3" s="9" t="s">
        <v>97</v>
      </c>
      <c r="BU3" s="9" t="s">
        <v>98</v>
      </c>
      <c r="BV3" s="9" t="s">
        <v>99</v>
      </c>
      <c r="BW3" s="9" t="s">
        <v>100</v>
      </c>
      <c r="BX3" s="9" t="s">
        <v>101</v>
      </c>
      <c r="BY3" s="9" t="s">
        <v>102</v>
      </c>
      <c r="BZ3" s="9" t="s">
        <v>103</v>
      </c>
      <c r="CA3" s="9" t="s">
        <v>104</v>
      </c>
      <c r="CB3" s="9" t="s">
        <v>105</v>
      </c>
      <c r="CC3" s="9" t="s">
        <v>106</v>
      </c>
      <c r="CD3" s="9" t="s">
        <v>107</v>
      </c>
      <c r="CE3" s="9" t="s">
        <v>108</v>
      </c>
      <c r="CF3" s="9" t="s">
        <v>109</v>
      </c>
      <c r="CG3" s="9" t="s">
        <v>110</v>
      </c>
      <c r="CH3" s="9" t="s">
        <v>111</v>
      </c>
      <c r="CI3" s="9" t="s">
        <v>112</v>
      </c>
      <c r="CJ3" s="9" t="s">
        <v>113</v>
      </c>
      <c r="CK3" s="9" t="s">
        <v>114</v>
      </c>
      <c r="CL3" s="9" t="s">
        <v>115</v>
      </c>
      <c r="CM3" s="9" t="s">
        <v>116</v>
      </c>
      <c r="CN3" s="9" t="s">
        <v>117</v>
      </c>
      <c r="CO3" s="9" t="s">
        <v>118</v>
      </c>
      <c r="CP3" s="9" t="s">
        <v>119</v>
      </c>
      <c r="CQ3" s="9" t="s">
        <v>120</v>
      </c>
      <c r="CR3" s="9" t="s">
        <v>121</v>
      </c>
      <c r="CS3" s="9" t="s">
        <v>122</v>
      </c>
      <c r="CT3" s="9" t="s">
        <v>123</v>
      </c>
      <c r="CU3" s="9" t="s">
        <v>124</v>
      </c>
      <c r="CV3" s="9" t="s">
        <v>125</v>
      </c>
      <c r="CW3" s="9" t="s">
        <v>126</v>
      </c>
      <c r="CX3" s="9" t="s">
        <v>127</v>
      </c>
      <c r="CY3" s="9" t="s">
        <v>128</v>
      </c>
      <c r="CZ3" s="9" t="s">
        <v>129</v>
      </c>
      <c r="DA3" s="9" t="s">
        <v>130</v>
      </c>
      <c r="DB3" s="9" t="s">
        <v>131</v>
      </c>
      <c r="DC3" s="9" t="s">
        <v>132</v>
      </c>
      <c r="DD3" s="9" t="s">
        <v>133</v>
      </c>
      <c r="DE3" s="9" t="s">
        <v>134</v>
      </c>
      <c r="DF3" s="9" t="s">
        <v>135</v>
      </c>
      <c r="DG3" s="9" t="s">
        <v>136</v>
      </c>
      <c r="DH3" s="9" t="s">
        <v>137</v>
      </c>
      <c r="DI3" s="9" t="s">
        <v>138</v>
      </c>
    </row>
    <row r="4" spans="1:125" s="13" customFormat="1" x14ac:dyDescent="0.2">
      <c r="A4" s="34" t="s">
        <v>139</v>
      </c>
      <c r="B4" s="11" t="s">
        <v>140</v>
      </c>
      <c r="C4" s="11" t="s">
        <v>6</v>
      </c>
      <c r="D4" s="11">
        <v>0</v>
      </c>
      <c r="E4" s="11">
        <v>0</v>
      </c>
      <c r="F4" s="11">
        <v>0</v>
      </c>
      <c r="G4" s="11">
        <v>0</v>
      </c>
      <c r="H4" s="11">
        <v>0</v>
      </c>
      <c r="I4" s="11">
        <v>0</v>
      </c>
      <c r="J4" s="11">
        <v>0</v>
      </c>
      <c r="K4" s="11">
        <v>0</v>
      </c>
      <c r="L4" s="11">
        <v>0</v>
      </c>
      <c r="M4" s="11">
        <v>0</v>
      </c>
      <c r="N4" s="11">
        <v>0</v>
      </c>
      <c r="O4" s="11">
        <v>0</v>
      </c>
      <c r="P4" s="11" t="s">
        <v>13</v>
      </c>
      <c r="Q4" s="11" t="s">
        <v>9</v>
      </c>
      <c r="R4" s="11" t="s">
        <v>141</v>
      </c>
      <c r="S4" s="11" t="s">
        <v>142</v>
      </c>
      <c r="T4" s="11" t="s">
        <v>11</v>
      </c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</row>
    <row r="5" spans="1:125" s="13" customFormat="1" x14ac:dyDescent="0.2">
      <c r="A5" s="35"/>
      <c r="B5" s="11" t="s">
        <v>143</v>
      </c>
      <c r="C5" s="11" t="s">
        <v>6</v>
      </c>
      <c r="D5" s="11" t="s">
        <v>144</v>
      </c>
      <c r="E5" s="11" t="s">
        <v>145</v>
      </c>
      <c r="F5" s="11" t="s">
        <v>146</v>
      </c>
      <c r="G5" s="11" t="s">
        <v>147</v>
      </c>
      <c r="H5" s="11" t="s">
        <v>148</v>
      </c>
      <c r="I5" s="11" t="s">
        <v>149</v>
      </c>
      <c r="J5" s="11" t="s">
        <v>150</v>
      </c>
      <c r="K5" s="11" t="s">
        <v>151</v>
      </c>
      <c r="L5" s="11" t="s">
        <v>152</v>
      </c>
      <c r="M5" s="11" t="s">
        <v>153</v>
      </c>
      <c r="N5" s="11" t="s">
        <v>154</v>
      </c>
      <c r="O5" s="11" t="s">
        <v>155</v>
      </c>
      <c r="P5" s="11" t="s">
        <v>13</v>
      </c>
      <c r="Q5" s="11" t="s">
        <v>9</v>
      </c>
      <c r="R5" s="11" t="s">
        <v>141</v>
      </c>
      <c r="S5" s="11" t="s">
        <v>142</v>
      </c>
      <c r="T5" s="11" t="s">
        <v>11</v>
      </c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</row>
    <row r="6" spans="1:125" s="13" customFormat="1" x14ac:dyDescent="0.2">
      <c r="A6" s="31" t="s">
        <v>156</v>
      </c>
      <c r="B6" s="14" t="s">
        <v>140</v>
      </c>
      <c r="C6" s="15" t="s">
        <v>6</v>
      </c>
      <c r="D6" s="15" t="s">
        <v>144</v>
      </c>
      <c r="E6" s="15" t="s">
        <v>145</v>
      </c>
      <c r="F6" s="15" t="s">
        <v>146</v>
      </c>
      <c r="G6" s="15" t="s">
        <v>147</v>
      </c>
      <c r="H6" s="15" t="s">
        <v>148</v>
      </c>
      <c r="I6" s="15" t="s">
        <v>149</v>
      </c>
      <c r="J6" s="15" t="s">
        <v>150</v>
      </c>
      <c r="K6" s="15" t="s">
        <v>151</v>
      </c>
      <c r="L6" s="15" t="s">
        <v>152</v>
      </c>
      <c r="M6" s="15" t="s">
        <v>153</v>
      </c>
      <c r="N6" s="15" t="s">
        <v>154</v>
      </c>
      <c r="O6" s="15" t="s">
        <v>155</v>
      </c>
      <c r="P6" s="15" t="s">
        <v>20</v>
      </c>
      <c r="Q6" s="15" t="s">
        <v>157</v>
      </c>
      <c r="R6" s="15" t="s">
        <v>141</v>
      </c>
      <c r="S6" s="15" t="s">
        <v>142</v>
      </c>
      <c r="T6" s="15" t="s">
        <v>11</v>
      </c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</row>
    <row r="7" spans="1:125" s="13" customFormat="1" x14ac:dyDescent="0.2">
      <c r="A7" s="32"/>
      <c r="B7" s="15" t="s">
        <v>143</v>
      </c>
      <c r="C7" s="15" t="s">
        <v>6</v>
      </c>
      <c r="D7" s="15" t="s">
        <v>144</v>
      </c>
      <c r="E7" s="15" t="s">
        <v>145</v>
      </c>
      <c r="F7" s="15" t="s">
        <v>146</v>
      </c>
      <c r="G7" s="15" t="s">
        <v>147</v>
      </c>
      <c r="H7" s="15" t="s">
        <v>148</v>
      </c>
      <c r="I7" s="15" t="s">
        <v>149</v>
      </c>
      <c r="J7" s="15" t="s">
        <v>150</v>
      </c>
      <c r="K7" s="15" t="s">
        <v>151</v>
      </c>
      <c r="L7" s="15" t="s">
        <v>152</v>
      </c>
      <c r="M7" s="15" t="s">
        <v>153</v>
      </c>
      <c r="N7" s="15" t="s">
        <v>154</v>
      </c>
      <c r="O7" s="15" t="s">
        <v>155</v>
      </c>
      <c r="P7" s="15" t="s">
        <v>20</v>
      </c>
      <c r="Q7" s="15" t="s">
        <v>157</v>
      </c>
      <c r="R7" s="15" t="s">
        <v>158</v>
      </c>
      <c r="S7" s="15" t="s">
        <v>159</v>
      </c>
      <c r="T7" s="15" t="s">
        <v>160</v>
      </c>
      <c r="U7" s="15" t="s">
        <v>161</v>
      </c>
      <c r="V7" s="15" t="s">
        <v>162</v>
      </c>
      <c r="W7" s="15" t="s">
        <v>163</v>
      </c>
      <c r="X7" s="15" t="s">
        <v>164</v>
      </c>
      <c r="Y7" s="15" t="s">
        <v>165</v>
      </c>
      <c r="Z7" s="15" t="s">
        <v>166</v>
      </c>
      <c r="AA7" s="15" t="s">
        <v>167</v>
      </c>
      <c r="AB7" s="15" t="s">
        <v>168</v>
      </c>
      <c r="AC7" s="15" t="s">
        <v>169</v>
      </c>
      <c r="AD7" s="15" t="s">
        <v>170</v>
      </c>
      <c r="AE7" s="15" t="s">
        <v>171</v>
      </c>
      <c r="AF7" s="15" t="s">
        <v>172</v>
      </c>
      <c r="AG7" s="15" t="s">
        <v>173</v>
      </c>
      <c r="AH7" s="15" t="s">
        <v>141</v>
      </c>
      <c r="AI7" s="15" t="s">
        <v>142</v>
      </c>
      <c r="AJ7" s="15" t="s">
        <v>11</v>
      </c>
      <c r="AK7" s="12"/>
      <c r="AL7" s="12"/>
      <c r="AM7" s="12"/>
      <c r="AN7" s="12"/>
      <c r="AO7" s="12"/>
      <c r="AP7" s="12" t="s">
        <v>174</v>
      </c>
      <c r="AQ7" s="12" t="s">
        <v>175</v>
      </c>
      <c r="AR7" s="12" t="s">
        <v>176</v>
      </c>
      <c r="AS7" s="12" t="s">
        <v>177</v>
      </c>
      <c r="AT7" s="12" t="s">
        <v>178</v>
      </c>
      <c r="AU7" s="12" t="s">
        <v>179</v>
      </c>
      <c r="AV7" s="12" t="s">
        <v>180</v>
      </c>
      <c r="AW7" s="12" t="s">
        <v>181</v>
      </c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</row>
    <row r="8" spans="1:125" s="13" customFormat="1" x14ac:dyDescent="0.2">
      <c r="A8" s="34" t="s">
        <v>182</v>
      </c>
      <c r="B8" s="11" t="s">
        <v>140</v>
      </c>
      <c r="C8" s="11" t="s">
        <v>6</v>
      </c>
      <c r="D8" s="11" t="s">
        <v>144</v>
      </c>
      <c r="E8" s="11" t="s">
        <v>145</v>
      </c>
      <c r="F8" s="11" t="s">
        <v>146</v>
      </c>
      <c r="G8" s="11" t="s">
        <v>147</v>
      </c>
      <c r="H8" s="11" t="s">
        <v>148</v>
      </c>
      <c r="I8" s="11" t="s">
        <v>149</v>
      </c>
      <c r="J8" s="11" t="s">
        <v>150</v>
      </c>
      <c r="K8" s="11" t="s">
        <v>151</v>
      </c>
      <c r="L8" s="11" t="s">
        <v>152</v>
      </c>
      <c r="M8" s="11" t="s">
        <v>153</v>
      </c>
      <c r="N8" s="11" t="s">
        <v>154</v>
      </c>
      <c r="O8" s="11" t="s">
        <v>155</v>
      </c>
      <c r="P8" s="11" t="s">
        <v>18</v>
      </c>
      <c r="Q8" s="11" t="s">
        <v>7</v>
      </c>
      <c r="R8" s="11" t="s">
        <v>183</v>
      </c>
      <c r="S8" s="11" t="s">
        <v>184</v>
      </c>
      <c r="T8" s="11" t="s">
        <v>185</v>
      </c>
      <c r="U8" s="11" t="s">
        <v>186</v>
      </c>
      <c r="V8" s="11" t="s">
        <v>187</v>
      </c>
      <c r="W8" s="11" t="s">
        <v>188</v>
      </c>
      <c r="X8" s="11" t="s">
        <v>189</v>
      </c>
      <c r="Y8" s="11" t="s">
        <v>190</v>
      </c>
      <c r="Z8" s="11" t="s">
        <v>191</v>
      </c>
      <c r="AA8" s="11" t="s">
        <v>192</v>
      </c>
      <c r="AB8" s="11" t="s">
        <v>193</v>
      </c>
      <c r="AC8" s="11" t="s">
        <v>194</v>
      </c>
      <c r="AD8" s="11" t="s">
        <v>195</v>
      </c>
      <c r="AE8" s="11" t="s">
        <v>196</v>
      </c>
      <c r="AF8" s="11" t="s">
        <v>197</v>
      </c>
      <c r="AG8" s="11" t="s">
        <v>198</v>
      </c>
      <c r="AH8" s="11" t="s">
        <v>199</v>
      </c>
      <c r="AI8" s="11" t="s">
        <v>200</v>
      </c>
      <c r="AJ8" s="11" t="s">
        <v>201</v>
      </c>
      <c r="AK8" s="11" t="s">
        <v>202</v>
      </c>
      <c r="AL8" s="11" t="s">
        <v>203</v>
      </c>
      <c r="AM8" s="11" t="s">
        <v>204</v>
      </c>
      <c r="AN8" s="11" t="s">
        <v>205</v>
      </c>
      <c r="AO8" s="11" t="s">
        <v>206</v>
      </c>
      <c r="AP8" s="11" t="s">
        <v>207</v>
      </c>
      <c r="AQ8" s="11" t="s">
        <v>208</v>
      </c>
      <c r="AR8" s="11" t="s">
        <v>209</v>
      </c>
      <c r="AS8" s="11" t="s">
        <v>210</v>
      </c>
      <c r="AT8" s="11" t="s">
        <v>211</v>
      </c>
      <c r="AU8" s="11" t="s">
        <v>212</v>
      </c>
      <c r="AV8" s="11" t="s">
        <v>213</v>
      </c>
      <c r="AW8" s="11" t="s">
        <v>214</v>
      </c>
      <c r="AX8" s="11" t="s">
        <v>141</v>
      </c>
      <c r="AY8" s="11" t="s">
        <v>142</v>
      </c>
      <c r="AZ8" s="11" t="s">
        <v>11</v>
      </c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</row>
    <row r="9" spans="1:125" s="13" customFormat="1" x14ac:dyDescent="0.2">
      <c r="A9" s="35"/>
      <c r="B9" s="11" t="s">
        <v>143</v>
      </c>
      <c r="C9" s="11" t="s">
        <v>6</v>
      </c>
      <c r="D9" s="11" t="s">
        <v>144</v>
      </c>
      <c r="E9" s="11" t="s">
        <v>145</v>
      </c>
      <c r="F9" s="11" t="s">
        <v>146</v>
      </c>
      <c r="G9" s="11" t="s">
        <v>147</v>
      </c>
      <c r="H9" s="11" t="s">
        <v>148</v>
      </c>
      <c r="I9" s="11" t="s">
        <v>149</v>
      </c>
      <c r="J9" s="11" t="s">
        <v>150</v>
      </c>
      <c r="K9" s="11" t="s">
        <v>151</v>
      </c>
      <c r="L9" s="11" t="s">
        <v>152</v>
      </c>
      <c r="M9" s="11" t="s">
        <v>153</v>
      </c>
      <c r="N9" s="11" t="s">
        <v>154</v>
      </c>
      <c r="O9" s="11" t="s">
        <v>155</v>
      </c>
      <c r="P9" s="11" t="s">
        <v>18</v>
      </c>
      <c r="Q9" s="11" t="s">
        <v>7</v>
      </c>
      <c r="R9" s="11">
        <v>0</v>
      </c>
      <c r="S9" s="11">
        <v>0</v>
      </c>
      <c r="T9" s="11" t="s">
        <v>141</v>
      </c>
      <c r="U9" s="11" t="s">
        <v>142</v>
      </c>
      <c r="V9" s="11" t="s">
        <v>11</v>
      </c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</row>
    <row r="10" spans="1:125" s="13" customFormat="1" x14ac:dyDescent="0.2">
      <c r="A10" s="31" t="s">
        <v>215</v>
      </c>
      <c r="B10" s="15" t="s">
        <v>140</v>
      </c>
      <c r="C10" s="15" t="s">
        <v>6</v>
      </c>
      <c r="D10" s="15" t="s">
        <v>144</v>
      </c>
      <c r="E10" s="15" t="s">
        <v>145</v>
      </c>
      <c r="F10" s="15" t="s">
        <v>146</v>
      </c>
      <c r="G10" s="15" t="s">
        <v>147</v>
      </c>
      <c r="H10" s="15" t="s">
        <v>148</v>
      </c>
      <c r="I10" s="15" t="s">
        <v>149</v>
      </c>
      <c r="J10" s="15" t="s">
        <v>150</v>
      </c>
      <c r="K10" s="15" t="s">
        <v>151</v>
      </c>
      <c r="L10" s="15" t="s">
        <v>152</v>
      </c>
      <c r="M10" s="15" t="s">
        <v>153</v>
      </c>
      <c r="N10" s="15" t="s">
        <v>154</v>
      </c>
      <c r="O10" s="15" t="s">
        <v>155</v>
      </c>
      <c r="P10" s="15" t="s">
        <v>216</v>
      </c>
      <c r="Q10" s="15" t="s">
        <v>7</v>
      </c>
      <c r="R10" s="15" t="s">
        <v>141</v>
      </c>
      <c r="S10" s="15" t="s">
        <v>142</v>
      </c>
      <c r="T10" s="15" t="s">
        <v>11</v>
      </c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 t="s">
        <v>174</v>
      </c>
      <c r="AQ10" s="12" t="s">
        <v>175</v>
      </c>
      <c r="AR10" s="12" t="s">
        <v>176</v>
      </c>
      <c r="AS10" s="12" t="s">
        <v>177</v>
      </c>
      <c r="AT10" s="12" t="s">
        <v>178</v>
      </c>
      <c r="AU10" s="12" t="s">
        <v>179</v>
      </c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</row>
    <row r="11" spans="1:125" s="13" customFormat="1" x14ac:dyDescent="0.2">
      <c r="A11" s="32"/>
      <c r="B11" s="15" t="s">
        <v>143</v>
      </c>
      <c r="C11" s="15" t="s">
        <v>6</v>
      </c>
      <c r="D11" s="15" t="s">
        <v>144</v>
      </c>
      <c r="E11" s="15" t="s">
        <v>145</v>
      </c>
      <c r="F11" s="15" t="s">
        <v>146</v>
      </c>
      <c r="G11" s="15" t="s">
        <v>147</v>
      </c>
      <c r="H11" s="15" t="s">
        <v>148</v>
      </c>
      <c r="I11" s="15" t="s">
        <v>149</v>
      </c>
      <c r="J11" s="15" t="s">
        <v>150</v>
      </c>
      <c r="K11" s="15" t="s">
        <v>151</v>
      </c>
      <c r="L11" s="15" t="s">
        <v>152</v>
      </c>
      <c r="M11" s="15" t="s">
        <v>153</v>
      </c>
      <c r="N11" s="15" t="s">
        <v>154</v>
      </c>
      <c r="O11" s="15" t="s">
        <v>155</v>
      </c>
      <c r="P11" s="15" t="s">
        <v>216</v>
      </c>
      <c r="Q11" s="15" t="s">
        <v>7</v>
      </c>
      <c r="R11" s="15" t="s">
        <v>183</v>
      </c>
      <c r="S11" s="15" t="s">
        <v>184</v>
      </c>
      <c r="T11" s="15" t="s">
        <v>185</v>
      </c>
      <c r="U11" s="15" t="s">
        <v>186</v>
      </c>
      <c r="V11" s="15" t="s">
        <v>187</v>
      </c>
      <c r="W11" s="15" t="s">
        <v>188</v>
      </c>
      <c r="X11" s="15" t="s">
        <v>189</v>
      </c>
      <c r="Y11" s="15" t="s">
        <v>190</v>
      </c>
      <c r="Z11" s="15" t="s">
        <v>191</v>
      </c>
      <c r="AA11" s="15" t="s">
        <v>192</v>
      </c>
      <c r="AB11" s="15" t="s">
        <v>193</v>
      </c>
      <c r="AC11" s="15" t="s">
        <v>194</v>
      </c>
      <c r="AD11" s="15" t="s">
        <v>195</v>
      </c>
      <c r="AE11" s="15" t="s">
        <v>196</v>
      </c>
      <c r="AF11" s="15" t="s">
        <v>197</v>
      </c>
      <c r="AG11" s="15" t="s">
        <v>198</v>
      </c>
      <c r="AH11" s="15" t="s">
        <v>199</v>
      </c>
      <c r="AI11" s="15" t="s">
        <v>200</v>
      </c>
      <c r="AJ11" s="15" t="s">
        <v>201</v>
      </c>
      <c r="AK11" s="15" t="s">
        <v>202</v>
      </c>
      <c r="AL11" s="15" t="s">
        <v>203</v>
      </c>
      <c r="AM11" s="15" t="s">
        <v>204</v>
      </c>
      <c r="AN11" s="15" t="s">
        <v>205</v>
      </c>
      <c r="AO11" s="15" t="s">
        <v>206</v>
      </c>
      <c r="AP11" s="15" t="s">
        <v>207</v>
      </c>
      <c r="AQ11" s="15" t="s">
        <v>208</v>
      </c>
      <c r="AR11" s="15" t="s">
        <v>209</v>
      </c>
      <c r="AS11" s="15" t="s">
        <v>210</v>
      </c>
      <c r="AT11" s="15" t="s">
        <v>211</v>
      </c>
      <c r="AU11" s="15" t="s">
        <v>212</v>
      </c>
      <c r="AV11" s="15" t="s">
        <v>213</v>
      </c>
      <c r="AW11" s="15" t="s">
        <v>214</v>
      </c>
      <c r="AX11" s="15" t="s">
        <v>141</v>
      </c>
      <c r="AY11" s="15" t="s">
        <v>142</v>
      </c>
      <c r="AZ11" s="15" t="s">
        <v>11</v>
      </c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</row>
    <row r="12" spans="1:125" s="13" customFormat="1" x14ac:dyDescent="0.2">
      <c r="A12" s="34" t="s">
        <v>217</v>
      </c>
      <c r="B12" s="11" t="s">
        <v>140</v>
      </c>
      <c r="C12" s="11" t="s">
        <v>6</v>
      </c>
      <c r="D12" s="11" t="s">
        <v>144</v>
      </c>
      <c r="E12" s="11" t="s">
        <v>145</v>
      </c>
      <c r="F12" s="11" t="s">
        <v>146</v>
      </c>
      <c r="G12" s="11" t="s">
        <v>147</v>
      </c>
      <c r="H12" s="11" t="s">
        <v>148</v>
      </c>
      <c r="I12" s="11" t="s">
        <v>149</v>
      </c>
      <c r="J12" s="11" t="s">
        <v>150</v>
      </c>
      <c r="K12" s="11" t="s">
        <v>151</v>
      </c>
      <c r="L12" s="11" t="s">
        <v>152</v>
      </c>
      <c r="M12" s="11" t="s">
        <v>153</v>
      </c>
      <c r="N12" s="11" t="s">
        <v>154</v>
      </c>
      <c r="O12" s="11" t="s">
        <v>155</v>
      </c>
      <c r="P12" s="11" t="s">
        <v>9</v>
      </c>
      <c r="Q12" s="11" t="s">
        <v>13</v>
      </c>
      <c r="R12" s="11" t="s">
        <v>141</v>
      </c>
      <c r="S12" s="11" t="s">
        <v>142</v>
      </c>
      <c r="T12" s="11" t="s">
        <v>11</v>
      </c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</row>
    <row r="13" spans="1:125" s="13" customFormat="1" x14ac:dyDescent="0.2">
      <c r="A13" s="35"/>
      <c r="B13" s="11" t="s">
        <v>143</v>
      </c>
      <c r="C13" s="11" t="s">
        <v>6</v>
      </c>
      <c r="D13" s="11" t="s">
        <v>144</v>
      </c>
      <c r="E13" s="11" t="s">
        <v>145</v>
      </c>
      <c r="F13" s="11" t="s">
        <v>146</v>
      </c>
      <c r="G13" s="11" t="s">
        <v>147</v>
      </c>
      <c r="H13" s="11" t="s">
        <v>148</v>
      </c>
      <c r="I13" s="11" t="s">
        <v>149</v>
      </c>
      <c r="J13" s="11" t="s">
        <v>150</v>
      </c>
      <c r="K13" s="11" t="s">
        <v>151</v>
      </c>
      <c r="L13" s="11" t="s">
        <v>152</v>
      </c>
      <c r="M13" s="11" t="s">
        <v>153</v>
      </c>
      <c r="N13" s="11" t="s">
        <v>154</v>
      </c>
      <c r="O13" s="11" t="s">
        <v>155</v>
      </c>
      <c r="P13" s="11" t="s">
        <v>9</v>
      </c>
      <c r="Q13" s="11" t="s">
        <v>13</v>
      </c>
      <c r="R13" s="11" t="s">
        <v>218</v>
      </c>
      <c r="S13" s="11" t="s">
        <v>219</v>
      </c>
      <c r="T13" s="11" t="s">
        <v>220</v>
      </c>
      <c r="U13" s="11" t="s">
        <v>221</v>
      </c>
      <c r="V13" s="11" t="s">
        <v>222</v>
      </c>
      <c r="W13" s="11" t="s">
        <v>223</v>
      </c>
      <c r="X13" s="11" t="s">
        <v>224</v>
      </c>
      <c r="Y13" s="11" t="s">
        <v>225</v>
      </c>
      <c r="Z13" s="11" t="s">
        <v>226</v>
      </c>
      <c r="AA13" s="11" t="s">
        <v>227</v>
      </c>
      <c r="AB13" s="11" t="s">
        <v>228</v>
      </c>
      <c r="AC13" s="11" t="s">
        <v>229</v>
      </c>
      <c r="AD13" s="11" t="s">
        <v>230</v>
      </c>
      <c r="AE13" s="11" t="s">
        <v>231</v>
      </c>
      <c r="AF13" s="11" t="s">
        <v>232</v>
      </c>
      <c r="AG13" s="11" t="s">
        <v>233</v>
      </c>
      <c r="AH13" s="11" t="s">
        <v>234</v>
      </c>
      <c r="AI13" s="11" t="s">
        <v>235</v>
      </c>
      <c r="AJ13" s="11" t="s">
        <v>236</v>
      </c>
      <c r="AK13" s="11" t="s">
        <v>237</v>
      </c>
      <c r="AL13" s="11" t="s">
        <v>238</v>
      </c>
      <c r="AM13" s="11" t="s">
        <v>239</v>
      </c>
      <c r="AN13" s="11" t="s">
        <v>240</v>
      </c>
      <c r="AO13" s="11" t="s">
        <v>241</v>
      </c>
      <c r="AP13" s="11" t="s">
        <v>242</v>
      </c>
      <c r="AQ13" s="11" t="s">
        <v>243</v>
      </c>
      <c r="AR13" s="11" t="s">
        <v>244</v>
      </c>
      <c r="AS13" s="11" t="s">
        <v>245</v>
      </c>
      <c r="AT13" s="11" t="s">
        <v>246</v>
      </c>
      <c r="AU13" s="11" t="s">
        <v>247</v>
      </c>
      <c r="AV13" s="11" t="s">
        <v>248</v>
      </c>
      <c r="AW13" s="11" t="s">
        <v>249</v>
      </c>
      <c r="AX13" s="11" t="s">
        <v>250</v>
      </c>
      <c r="AY13" s="11" t="s">
        <v>251</v>
      </c>
      <c r="AZ13" s="11" t="s">
        <v>252</v>
      </c>
      <c r="BA13" s="11" t="s">
        <v>253</v>
      </c>
      <c r="BB13" s="11" t="s">
        <v>254</v>
      </c>
      <c r="BC13" s="11" t="s">
        <v>255</v>
      </c>
      <c r="BD13" s="11" t="s">
        <v>256</v>
      </c>
      <c r="BE13" s="11" t="s">
        <v>257</v>
      </c>
      <c r="BF13" s="11" t="s">
        <v>258</v>
      </c>
      <c r="BG13" s="11" t="s">
        <v>259</v>
      </c>
      <c r="BH13" s="11" t="s">
        <v>260</v>
      </c>
      <c r="BI13" s="11" t="s">
        <v>261</v>
      </c>
      <c r="BJ13" s="11" t="s">
        <v>262</v>
      </c>
      <c r="BK13" s="11" t="s">
        <v>263</v>
      </c>
      <c r="BL13" s="11" t="s">
        <v>264</v>
      </c>
      <c r="BM13" s="11" t="s">
        <v>265</v>
      </c>
      <c r="BN13" s="11" t="s">
        <v>266</v>
      </c>
      <c r="BO13" s="11" t="s">
        <v>267</v>
      </c>
      <c r="BP13" s="11" t="s">
        <v>268</v>
      </c>
      <c r="BQ13" s="11" t="s">
        <v>269</v>
      </c>
      <c r="BR13" s="11" t="s">
        <v>270</v>
      </c>
      <c r="BS13" s="11" t="s">
        <v>271</v>
      </c>
      <c r="BT13" s="11" t="s">
        <v>272</v>
      </c>
      <c r="BU13" s="11" t="s">
        <v>273</v>
      </c>
      <c r="BV13" s="11" t="s">
        <v>274</v>
      </c>
      <c r="BW13" s="11" t="s">
        <v>275</v>
      </c>
      <c r="BX13" s="11" t="s">
        <v>276</v>
      </c>
      <c r="BY13" s="11" t="s">
        <v>277</v>
      </c>
      <c r="BZ13" s="11" t="s">
        <v>278</v>
      </c>
      <c r="CA13" s="11" t="s">
        <v>279</v>
      </c>
      <c r="CB13" s="11" t="s">
        <v>280</v>
      </c>
      <c r="CC13" s="11" t="s">
        <v>281</v>
      </c>
      <c r="CD13" s="11" t="s">
        <v>282</v>
      </c>
      <c r="CE13" s="11" t="s">
        <v>283</v>
      </c>
      <c r="CF13" s="11" t="s">
        <v>284</v>
      </c>
      <c r="CG13" s="11" t="s">
        <v>285</v>
      </c>
      <c r="CH13" s="11" t="s">
        <v>286</v>
      </c>
      <c r="CI13" s="11" t="s">
        <v>287</v>
      </c>
      <c r="CJ13" s="11" t="s">
        <v>288</v>
      </c>
      <c r="CK13" s="11" t="s">
        <v>289</v>
      </c>
      <c r="CL13" s="11" t="s">
        <v>290</v>
      </c>
      <c r="CM13" s="11" t="s">
        <v>291</v>
      </c>
      <c r="CN13" s="11" t="s">
        <v>292</v>
      </c>
      <c r="CO13" s="11" t="s">
        <v>293</v>
      </c>
      <c r="CP13" s="11" t="s">
        <v>207</v>
      </c>
      <c r="CQ13" s="11" t="s">
        <v>208</v>
      </c>
      <c r="CR13" s="11" t="s">
        <v>209</v>
      </c>
      <c r="CS13" s="11" t="s">
        <v>210</v>
      </c>
      <c r="CT13" s="11" t="s">
        <v>211</v>
      </c>
      <c r="CU13" s="11" t="s">
        <v>212</v>
      </c>
      <c r="CV13" s="11" t="s">
        <v>213</v>
      </c>
      <c r="CW13" s="11" t="s">
        <v>214</v>
      </c>
      <c r="CX13" s="11" t="s">
        <v>141</v>
      </c>
      <c r="CY13" s="11" t="s">
        <v>142</v>
      </c>
      <c r="CZ13" s="16" t="s">
        <v>11</v>
      </c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</row>
    <row r="14" spans="1:125" s="13" customFormat="1" x14ac:dyDescent="0.2">
      <c r="A14" s="31" t="s">
        <v>294</v>
      </c>
      <c r="B14" s="15" t="s">
        <v>140</v>
      </c>
      <c r="C14" s="15" t="s">
        <v>6</v>
      </c>
      <c r="D14" s="15" t="s">
        <v>144</v>
      </c>
      <c r="E14" s="15" t="s">
        <v>145</v>
      </c>
      <c r="F14" s="15" t="s">
        <v>146</v>
      </c>
      <c r="G14" s="15" t="s">
        <v>147</v>
      </c>
      <c r="H14" s="15" t="s">
        <v>148</v>
      </c>
      <c r="I14" s="15" t="s">
        <v>149</v>
      </c>
      <c r="J14" s="15" t="s">
        <v>150</v>
      </c>
      <c r="K14" s="15" t="s">
        <v>151</v>
      </c>
      <c r="L14" s="15" t="s">
        <v>152</v>
      </c>
      <c r="M14" s="15" t="s">
        <v>153</v>
      </c>
      <c r="N14" s="15" t="s">
        <v>154</v>
      </c>
      <c r="O14" s="15" t="s">
        <v>155</v>
      </c>
      <c r="P14" s="15" t="s">
        <v>9</v>
      </c>
      <c r="Q14" s="15" t="s">
        <v>18</v>
      </c>
      <c r="R14" s="15" t="s">
        <v>141</v>
      </c>
      <c r="S14" s="15" t="s">
        <v>142</v>
      </c>
      <c r="T14" s="15" t="s">
        <v>11</v>
      </c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7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</row>
    <row r="15" spans="1:125" s="13" customFormat="1" x14ac:dyDescent="0.2">
      <c r="A15" s="32"/>
      <c r="B15" s="15" t="s">
        <v>143</v>
      </c>
      <c r="C15" s="15" t="s">
        <v>6</v>
      </c>
      <c r="D15" s="15" t="s">
        <v>144</v>
      </c>
      <c r="E15" s="15" t="s">
        <v>145</v>
      </c>
      <c r="F15" s="15" t="s">
        <v>146</v>
      </c>
      <c r="G15" s="15" t="s">
        <v>147</v>
      </c>
      <c r="H15" s="15" t="s">
        <v>148</v>
      </c>
      <c r="I15" s="15" t="s">
        <v>149</v>
      </c>
      <c r="J15" s="15" t="s">
        <v>150</v>
      </c>
      <c r="K15" s="15" t="s">
        <v>151</v>
      </c>
      <c r="L15" s="15" t="s">
        <v>152</v>
      </c>
      <c r="M15" s="15" t="s">
        <v>153</v>
      </c>
      <c r="N15" s="15" t="s">
        <v>154</v>
      </c>
      <c r="O15" s="15" t="s">
        <v>155</v>
      </c>
      <c r="P15" s="15" t="s">
        <v>9</v>
      </c>
      <c r="Q15" s="15" t="s">
        <v>18</v>
      </c>
      <c r="R15" s="15" t="s">
        <v>295</v>
      </c>
      <c r="S15" s="15" t="s">
        <v>296</v>
      </c>
      <c r="T15" s="15" t="s">
        <v>297</v>
      </c>
      <c r="U15" s="15" t="s">
        <v>298</v>
      </c>
      <c r="V15" s="15" t="s">
        <v>299</v>
      </c>
      <c r="W15" s="15" t="s">
        <v>300</v>
      </c>
      <c r="X15" s="15" t="s">
        <v>301</v>
      </c>
      <c r="Y15" s="15" t="s">
        <v>302</v>
      </c>
      <c r="Z15" s="15" t="s">
        <v>303</v>
      </c>
      <c r="AA15" s="15" t="s">
        <v>304</v>
      </c>
      <c r="AB15" s="15" t="s">
        <v>305</v>
      </c>
      <c r="AC15" s="15" t="s">
        <v>306</v>
      </c>
      <c r="AD15" s="15" t="s">
        <v>307</v>
      </c>
      <c r="AE15" s="15" t="s">
        <v>308</v>
      </c>
      <c r="AF15" s="17" t="s">
        <v>309</v>
      </c>
      <c r="AG15" s="18" t="s">
        <v>310</v>
      </c>
      <c r="AH15" s="17" t="s">
        <v>311</v>
      </c>
      <c r="AI15" s="18" t="s">
        <v>312</v>
      </c>
      <c r="AJ15" s="15" t="s">
        <v>313</v>
      </c>
      <c r="AK15" s="15" t="s">
        <v>314</v>
      </c>
      <c r="AL15" s="15" t="s">
        <v>315</v>
      </c>
      <c r="AM15" s="15" t="s">
        <v>316</v>
      </c>
      <c r="AN15" s="15" t="s">
        <v>317</v>
      </c>
      <c r="AO15" s="15" t="s">
        <v>318</v>
      </c>
      <c r="AP15" s="15" t="s">
        <v>319</v>
      </c>
      <c r="AQ15" s="15" t="s">
        <v>320</v>
      </c>
      <c r="AR15" s="18" t="s">
        <v>321</v>
      </c>
      <c r="AS15" s="18" t="s">
        <v>322</v>
      </c>
      <c r="AT15" s="18" t="s">
        <v>323</v>
      </c>
      <c r="AU15" s="18" t="s">
        <v>324</v>
      </c>
      <c r="AV15" s="18" t="s">
        <v>325</v>
      </c>
      <c r="AW15" s="18" t="s">
        <v>326</v>
      </c>
      <c r="AX15" s="18" t="s">
        <v>327</v>
      </c>
      <c r="AY15" s="18" t="s">
        <v>328</v>
      </c>
      <c r="AZ15" s="18" t="s">
        <v>329</v>
      </c>
      <c r="BA15" s="18" t="s">
        <v>330</v>
      </c>
      <c r="BB15" s="18" t="s">
        <v>331</v>
      </c>
      <c r="BC15" s="18" t="s">
        <v>332</v>
      </c>
      <c r="BD15" s="15" t="s">
        <v>207</v>
      </c>
      <c r="BE15" s="15" t="s">
        <v>208</v>
      </c>
      <c r="BF15" s="15" t="s">
        <v>209</v>
      </c>
      <c r="BG15" s="15" t="s">
        <v>210</v>
      </c>
      <c r="BH15" s="15" t="s">
        <v>211</v>
      </c>
      <c r="BI15" s="15" t="s">
        <v>212</v>
      </c>
      <c r="BJ15" s="15" t="s">
        <v>213</v>
      </c>
      <c r="BK15" s="15" t="s">
        <v>214</v>
      </c>
      <c r="BL15" s="15" t="s">
        <v>141</v>
      </c>
      <c r="BM15" s="15" t="s">
        <v>142</v>
      </c>
      <c r="BN15" s="15" t="s">
        <v>11</v>
      </c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7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</row>
    <row r="16" spans="1:125" s="13" customFormat="1" x14ac:dyDescent="0.2">
      <c r="A16" s="34" t="s">
        <v>333</v>
      </c>
      <c r="B16" s="11" t="s">
        <v>140</v>
      </c>
      <c r="C16" s="11" t="s">
        <v>6</v>
      </c>
      <c r="D16" s="11" t="s">
        <v>144</v>
      </c>
      <c r="E16" s="11" t="s">
        <v>145</v>
      </c>
      <c r="F16" s="11" t="s">
        <v>146</v>
      </c>
      <c r="G16" s="11" t="s">
        <v>147</v>
      </c>
      <c r="H16" s="11" t="s">
        <v>148</v>
      </c>
      <c r="I16" s="11" t="s">
        <v>149</v>
      </c>
      <c r="J16" s="11" t="s">
        <v>150</v>
      </c>
      <c r="K16" s="11" t="s">
        <v>151</v>
      </c>
      <c r="L16" s="11" t="s">
        <v>152</v>
      </c>
      <c r="M16" s="11" t="s">
        <v>153</v>
      </c>
      <c r="N16" s="11" t="s">
        <v>154</v>
      </c>
      <c r="O16" s="11" t="s">
        <v>155</v>
      </c>
      <c r="P16" s="11" t="s">
        <v>334</v>
      </c>
      <c r="Q16" s="11" t="s">
        <v>18</v>
      </c>
      <c r="R16" s="11" t="s">
        <v>141</v>
      </c>
      <c r="S16" s="11" t="s">
        <v>142</v>
      </c>
      <c r="T16" s="11" t="s">
        <v>11</v>
      </c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7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</row>
    <row r="17" spans="1:125" s="13" customFormat="1" x14ac:dyDescent="0.2">
      <c r="A17" s="35"/>
      <c r="B17" s="11" t="s">
        <v>143</v>
      </c>
      <c r="C17" s="11" t="s">
        <v>6</v>
      </c>
      <c r="D17" s="11" t="s">
        <v>144</v>
      </c>
      <c r="E17" s="11" t="s">
        <v>145</v>
      </c>
      <c r="F17" s="11" t="s">
        <v>146</v>
      </c>
      <c r="G17" s="11" t="s">
        <v>147</v>
      </c>
      <c r="H17" s="11" t="s">
        <v>148</v>
      </c>
      <c r="I17" s="11" t="s">
        <v>149</v>
      </c>
      <c r="J17" s="11" t="s">
        <v>150</v>
      </c>
      <c r="K17" s="11" t="s">
        <v>151</v>
      </c>
      <c r="L17" s="11" t="s">
        <v>152</v>
      </c>
      <c r="M17" s="11" t="s">
        <v>153</v>
      </c>
      <c r="N17" s="11" t="s">
        <v>154</v>
      </c>
      <c r="O17" s="11" t="s">
        <v>155</v>
      </c>
      <c r="P17" s="11" t="s">
        <v>334</v>
      </c>
      <c r="Q17" s="11" t="s">
        <v>18</v>
      </c>
      <c r="R17" s="11" t="s">
        <v>335</v>
      </c>
      <c r="S17" s="11" t="s">
        <v>336</v>
      </c>
      <c r="T17" s="11" t="s">
        <v>178</v>
      </c>
      <c r="U17" s="11" t="s">
        <v>179</v>
      </c>
      <c r="V17" s="11" t="s">
        <v>337</v>
      </c>
      <c r="W17" s="11" t="s">
        <v>338</v>
      </c>
      <c r="X17" s="11" t="s">
        <v>339</v>
      </c>
      <c r="Y17" s="11" t="s">
        <v>340</v>
      </c>
      <c r="Z17" s="11" t="s">
        <v>341</v>
      </c>
      <c r="AA17" s="11" t="s">
        <v>342</v>
      </c>
      <c r="AB17" s="11" t="s">
        <v>343</v>
      </c>
      <c r="AC17" s="11" t="s">
        <v>344</v>
      </c>
      <c r="AD17" s="11" t="s">
        <v>345</v>
      </c>
      <c r="AE17" s="11" t="s">
        <v>346</v>
      </c>
      <c r="AF17" s="11" t="s">
        <v>347</v>
      </c>
      <c r="AG17" s="11" t="s">
        <v>348</v>
      </c>
      <c r="AH17" s="11" t="s">
        <v>349</v>
      </c>
      <c r="AI17" s="11" t="s">
        <v>349</v>
      </c>
      <c r="AJ17" s="11" t="s">
        <v>349</v>
      </c>
      <c r="AK17" s="11" t="s">
        <v>349</v>
      </c>
      <c r="AL17" s="11" t="s">
        <v>350</v>
      </c>
      <c r="AM17" s="11" t="s">
        <v>351</v>
      </c>
      <c r="AN17" s="11" t="s">
        <v>352</v>
      </c>
      <c r="AO17" s="11" t="s">
        <v>353</v>
      </c>
      <c r="AP17" s="11" t="s">
        <v>354</v>
      </c>
      <c r="AQ17" s="11" t="s">
        <v>355</v>
      </c>
      <c r="AR17" s="11" t="s">
        <v>356</v>
      </c>
      <c r="AS17" s="11" t="s">
        <v>357</v>
      </c>
      <c r="AT17" s="11" t="s">
        <v>358</v>
      </c>
      <c r="AU17" s="11" t="s">
        <v>359</v>
      </c>
      <c r="AV17" s="11" t="s">
        <v>360</v>
      </c>
      <c r="AW17" s="11" t="s">
        <v>361</v>
      </c>
      <c r="AX17" s="11" t="s">
        <v>362</v>
      </c>
      <c r="AY17" s="11" t="s">
        <v>363</v>
      </c>
      <c r="AZ17" s="11" t="s">
        <v>364</v>
      </c>
      <c r="BA17" s="11" t="s">
        <v>365</v>
      </c>
      <c r="BB17" s="11" t="s">
        <v>207</v>
      </c>
      <c r="BC17" s="11" t="s">
        <v>208</v>
      </c>
      <c r="BD17" s="11" t="s">
        <v>209</v>
      </c>
      <c r="BE17" s="11" t="s">
        <v>210</v>
      </c>
      <c r="BF17" s="11" t="s">
        <v>211</v>
      </c>
      <c r="BG17" s="11" t="s">
        <v>212</v>
      </c>
      <c r="BH17" s="11" t="s">
        <v>213</v>
      </c>
      <c r="BI17" s="11" t="s">
        <v>214</v>
      </c>
      <c r="BJ17" s="11" t="s">
        <v>141</v>
      </c>
      <c r="BK17" s="11" t="s">
        <v>142</v>
      </c>
      <c r="BL17" s="11" t="s">
        <v>11</v>
      </c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9"/>
      <c r="CJ17" s="8"/>
      <c r="CK17" s="8"/>
      <c r="CL17" s="8"/>
      <c r="CM17" s="8"/>
      <c r="CN17" s="8"/>
      <c r="CO17" s="8"/>
      <c r="CP17" s="8"/>
      <c r="CQ17" s="8"/>
      <c r="CR17" s="8"/>
      <c r="CS17" s="7"/>
      <c r="CT17" s="7"/>
      <c r="CU17" s="7"/>
      <c r="CV17" s="7"/>
      <c r="CW17" s="7"/>
      <c r="CX17" s="7"/>
      <c r="CY17" s="7"/>
      <c r="CZ17" s="7"/>
      <c r="DA17" s="7"/>
      <c r="DB17" s="8"/>
      <c r="DC17" s="8"/>
      <c r="DD17" s="8"/>
      <c r="DE17" s="8"/>
    </row>
    <row r="18" spans="1:125" s="13" customFormat="1" x14ac:dyDescent="0.2">
      <c r="A18" s="31" t="s">
        <v>366</v>
      </c>
      <c r="B18" s="15" t="s">
        <v>140</v>
      </c>
      <c r="C18" s="15" t="s">
        <v>6</v>
      </c>
      <c r="D18" s="15" t="s">
        <v>144</v>
      </c>
      <c r="E18" s="15" t="s">
        <v>145</v>
      </c>
      <c r="F18" s="15" t="s">
        <v>146</v>
      </c>
      <c r="G18" s="15" t="s">
        <v>147</v>
      </c>
      <c r="H18" s="15" t="s">
        <v>148</v>
      </c>
      <c r="I18" s="15" t="s">
        <v>149</v>
      </c>
      <c r="J18" s="15" t="s">
        <v>150</v>
      </c>
      <c r="K18" s="15" t="s">
        <v>151</v>
      </c>
      <c r="L18" s="15" t="s">
        <v>152</v>
      </c>
      <c r="M18" s="15" t="s">
        <v>153</v>
      </c>
      <c r="N18" s="15" t="s">
        <v>154</v>
      </c>
      <c r="O18" s="15" t="s">
        <v>155</v>
      </c>
      <c r="P18" s="15" t="s">
        <v>367</v>
      </c>
      <c r="Q18" s="15" t="s">
        <v>7</v>
      </c>
      <c r="R18" s="15" t="s">
        <v>141</v>
      </c>
      <c r="S18" s="15" t="s">
        <v>142</v>
      </c>
      <c r="T18" s="15" t="s">
        <v>11</v>
      </c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7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</row>
    <row r="19" spans="1:125" s="13" customFormat="1" x14ac:dyDescent="0.2">
      <c r="A19" s="32"/>
      <c r="B19" s="15" t="s">
        <v>143</v>
      </c>
      <c r="C19" s="15" t="s">
        <v>6</v>
      </c>
      <c r="D19" s="15" t="s">
        <v>144</v>
      </c>
      <c r="E19" s="15" t="s">
        <v>145</v>
      </c>
      <c r="F19" s="15" t="s">
        <v>146</v>
      </c>
      <c r="G19" s="15" t="s">
        <v>147</v>
      </c>
      <c r="H19" s="15" t="s">
        <v>148</v>
      </c>
      <c r="I19" s="15" t="s">
        <v>149</v>
      </c>
      <c r="J19" s="15" t="s">
        <v>150</v>
      </c>
      <c r="K19" s="15" t="s">
        <v>151</v>
      </c>
      <c r="L19" s="15" t="s">
        <v>152</v>
      </c>
      <c r="M19" s="15" t="s">
        <v>153</v>
      </c>
      <c r="N19" s="15" t="s">
        <v>154</v>
      </c>
      <c r="O19" s="15" t="s">
        <v>155</v>
      </c>
      <c r="P19" s="15" t="s">
        <v>367</v>
      </c>
      <c r="Q19" s="15" t="s">
        <v>7</v>
      </c>
      <c r="R19" s="15">
        <v>0</v>
      </c>
      <c r="S19" s="15">
        <v>0</v>
      </c>
      <c r="T19" s="15" t="s">
        <v>141</v>
      </c>
      <c r="U19" s="15" t="s">
        <v>142</v>
      </c>
      <c r="V19" s="15" t="s">
        <v>11</v>
      </c>
      <c r="W19" s="12"/>
      <c r="X19" s="12"/>
      <c r="Y19" s="12"/>
      <c r="Z19" s="12"/>
      <c r="AA19" s="12"/>
      <c r="AB19" s="12"/>
      <c r="AC19" s="19"/>
      <c r="AD19" s="19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7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</row>
    <row r="20" spans="1:125" s="13" customFormat="1" x14ac:dyDescent="0.2">
      <c r="A20" s="34" t="s">
        <v>368</v>
      </c>
      <c r="B20" s="11" t="s">
        <v>140</v>
      </c>
      <c r="C20" s="11" t="s">
        <v>6</v>
      </c>
      <c r="D20" s="11" t="s">
        <v>144</v>
      </c>
      <c r="E20" s="11" t="s">
        <v>145</v>
      </c>
      <c r="F20" s="11" t="s">
        <v>146</v>
      </c>
      <c r="G20" s="11" t="s">
        <v>147</v>
      </c>
      <c r="H20" s="11" t="s">
        <v>148</v>
      </c>
      <c r="I20" s="11" t="s">
        <v>149</v>
      </c>
      <c r="J20" s="11" t="s">
        <v>150</v>
      </c>
      <c r="K20" s="11" t="s">
        <v>151</v>
      </c>
      <c r="L20" s="11" t="s">
        <v>152</v>
      </c>
      <c r="M20" s="11" t="s">
        <v>153</v>
      </c>
      <c r="N20" s="11" t="s">
        <v>154</v>
      </c>
      <c r="O20" s="11" t="s">
        <v>155</v>
      </c>
      <c r="P20" s="11" t="s">
        <v>216</v>
      </c>
      <c r="Q20" s="11" t="s">
        <v>9</v>
      </c>
      <c r="R20" s="11" t="s">
        <v>369</v>
      </c>
      <c r="S20" s="11" t="s">
        <v>370</v>
      </c>
      <c r="T20" s="11" t="s">
        <v>371</v>
      </c>
      <c r="U20" s="11" t="s">
        <v>372</v>
      </c>
      <c r="V20" s="11" t="s">
        <v>343</v>
      </c>
      <c r="W20" s="11" t="s">
        <v>344</v>
      </c>
      <c r="X20" s="11" t="s">
        <v>373</v>
      </c>
      <c r="Y20" s="11" t="s">
        <v>374</v>
      </c>
      <c r="Z20" s="11" t="s">
        <v>141</v>
      </c>
      <c r="AA20" s="11" t="s">
        <v>142</v>
      </c>
      <c r="AB20" s="20" t="s">
        <v>11</v>
      </c>
      <c r="AC20" s="9"/>
      <c r="AD20" s="9"/>
      <c r="AE20" s="21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7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</row>
    <row r="21" spans="1:125" s="13" customFormat="1" x14ac:dyDescent="0.2">
      <c r="A21" s="35"/>
      <c r="B21" s="11" t="s">
        <v>143</v>
      </c>
      <c r="C21" s="11" t="s">
        <v>6</v>
      </c>
      <c r="D21" s="11" t="s">
        <v>144</v>
      </c>
      <c r="E21" s="11" t="s">
        <v>145</v>
      </c>
      <c r="F21" s="11" t="s">
        <v>146</v>
      </c>
      <c r="G21" s="11" t="s">
        <v>147</v>
      </c>
      <c r="H21" s="11" t="s">
        <v>148</v>
      </c>
      <c r="I21" s="11" t="s">
        <v>149</v>
      </c>
      <c r="J21" s="11" t="s">
        <v>150</v>
      </c>
      <c r="K21" s="11" t="s">
        <v>151</v>
      </c>
      <c r="L21" s="11" t="s">
        <v>152</v>
      </c>
      <c r="M21" s="11" t="s">
        <v>153</v>
      </c>
      <c r="N21" s="11" t="s">
        <v>154</v>
      </c>
      <c r="O21" s="11" t="s">
        <v>155</v>
      </c>
      <c r="P21" s="11" t="s">
        <v>216</v>
      </c>
      <c r="Q21" s="11" t="s">
        <v>9</v>
      </c>
      <c r="R21" s="11" t="s">
        <v>375</v>
      </c>
      <c r="S21" s="11" t="s">
        <v>376</v>
      </c>
      <c r="T21" s="11" t="s">
        <v>377</v>
      </c>
      <c r="U21" s="11" t="s">
        <v>141</v>
      </c>
      <c r="V21" s="11" t="s">
        <v>142</v>
      </c>
      <c r="W21" s="20" t="s">
        <v>11</v>
      </c>
      <c r="X21" s="12"/>
      <c r="Y21" s="12"/>
      <c r="Z21" s="12"/>
      <c r="AA21" s="12"/>
      <c r="AB21" s="12"/>
      <c r="AC21" s="22"/>
      <c r="AD21" s="2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7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</row>
    <row r="22" spans="1:125" s="13" customFormat="1" x14ac:dyDescent="0.2">
      <c r="A22" s="31" t="s">
        <v>378</v>
      </c>
      <c r="B22" s="15" t="s">
        <v>140</v>
      </c>
      <c r="C22" s="36" t="s">
        <v>379</v>
      </c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8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7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</row>
    <row r="23" spans="1:125" s="13" customFormat="1" x14ac:dyDescent="0.2">
      <c r="A23" s="32"/>
      <c r="B23" s="15" t="s">
        <v>380</v>
      </c>
      <c r="C23" s="15" t="s">
        <v>6</v>
      </c>
      <c r="D23" s="15" t="s">
        <v>144</v>
      </c>
      <c r="E23" s="15" t="s">
        <v>145</v>
      </c>
      <c r="F23" s="15" t="s">
        <v>146</v>
      </c>
      <c r="G23" s="15" t="s">
        <v>147</v>
      </c>
      <c r="H23" s="15" t="s">
        <v>148</v>
      </c>
      <c r="I23" s="15" t="s">
        <v>149</v>
      </c>
      <c r="J23" s="15" t="s">
        <v>150</v>
      </c>
      <c r="K23" s="15" t="s">
        <v>151</v>
      </c>
      <c r="L23" s="15" t="s">
        <v>152</v>
      </c>
      <c r="M23" s="15" t="s">
        <v>153</v>
      </c>
      <c r="N23" s="15" t="s">
        <v>154</v>
      </c>
      <c r="O23" s="15" t="s">
        <v>155</v>
      </c>
      <c r="P23" s="15" t="s">
        <v>381</v>
      </c>
      <c r="Q23" s="15" t="s">
        <v>19</v>
      </c>
      <c r="R23" s="15" t="s">
        <v>382</v>
      </c>
      <c r="S23" s="15" t="s">
        <v>382</v>
      </c>
      <c r="T23" s="15" t="s">
        <v>141</v>
      </c>
      <c r="U23" s="15" t="s">
        <v>142</v>
      </c>
      <c r="V23" s="15" t="s">
        <v>11</v>
      </c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7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</row>
    <row r="24" spans="1:125" s="13" customFormat="1" x14ac:dyDescent="0.2">
      <c r="A24" s="34" t="s">
        <v>383</v>
      </c>
      <c r="B24" s="11" t="s">
        <v>140</v>
      </c>
      <c r="C24" s="11" t="s">
        <v>6</v>
      </c>
      <c r="D24" s="11" t="s">
        <v>144</v>
      </c>
      <c r="E24" s="11" t="s">
        <v>145</v>
      </c>
      <c r="F24" s="11" t="s">
        <v>146</v>
      </c>
      <c r="G24" s="11" t="s">
        <v>147</v>
      </c>
      <c r="H24" s="11" t="s">
        <v>148</v>
      </c>
      <c r="I24" s="11" t="s">
        <v>149</v>
      </c>
      <c r="J24" s="11" t="s">
        <v>150</v>
      </c>
      <c r="K24" s="11" t="s">
        <v>151</v>
      </c>
      <c r="L24" s="11" t="s">
        <v>152</v>
      </c>
      <c r="M24" s="11" t="s">
        <v>153</v>
      </c>
      <c r="N24" s="11" t="s">
        <v>154</v>
      </c>
      <c r="O24" s="11" t="s">
        <v>155</v>
      </c>
      <c r="P24" s="11" t="s">
        <v>384</v>
      </c>
      <c r="Q24" s="11" t="s">
        <v>385</v>
      </c>
      <c r="R24" s="11" t="s">
        <v>386</v>
      </c>
      <c r="S24" s="11" t="s">
        <v>387</v>
      </c>
      <c r="T24" s="11" t="s">
        <v>141</v>
      </c>
      <c r="U24" s="11" t="s">
        <v>142</v>
      </c>
      <c r="V24" s="11" t="s">
        <v>11</v>
      </c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7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</row>
    <row r="25" spans="1:125" s="13" customFormat="1" x14ac:dyDescent="0.2">
      <c r="A25" s="35"/>
      <c r="B25" s="11" t="s">
        <v>143</v>
      </c>
      <c r="C25" s="11" t="s">
        <v>6</v>
      </c>
      <c r="D25" s="11" t="s">
        <v>144</v>
      </c>
      <c r="E25" s="11" t="s">
        <v>145</v>
      </c>
      <c r="F25" s="11" t="s">
        <v>146</v>
      </c>
      <c r="G25" s="11" t="s">
        <v>147</v>
      </c>
      <c r="H25" s="11" t="s">
        <v>148</v>
      </c>
      <c r="I25" s="11" t="s">
        <v>149</v>
      </c>
      <c r="J25" s="11" t="s">
        <v>150</v>
      </c>
      <c r="K25" s="11" t="s">
        <v>151</v>
      </c>
      <c r="L25" s="11" t="s">
        <v>152</v>
      </c>
      <c r="M25" s="11" t="s">
        <v>153</v>
      </c>
      <c r="N25" s="11" t="s">
        <v>154</v>
      </c>
      <c r="O25" s="11" t="s">
        <v>155</v>
      </c>
      <c r="P25" s="11" t="s">
        <v>384</v>
      </c>
      <c r="Q25" s="11" t="s">
        <v>385</v>
      </c>
      <c r="R25" s="11" t="s">
        <v>158</v>
      </c>
      <c r="S25" s="11" t="s">
        <v>159</v>
      </c>
      <c r="T25" s="11" t="s">
        <v>160</v>
      </c>
      <c r="U25" s="11" t="s">
        <v>161</v>
      </c>
      <c r="V25" s="11" t="s">
        <v>162</v>
      </c>
      <c r="W25" s="11" t="s">
        <v>163</v>
      </c>
      <c r="X25" s="11" t="s">
        <v>164</v>
      </c>
      <c r="Y25" s="11" t="s">
        <v>165</v>
      </c>
      <c r="Z25" s="11" t="s">
        <v>166</v>
      </c>
      <c r="AA25" s="11" t="s">
        <v>167</v>
      </c>
      <c r="AB25" s="11" t="s">
        <v>168</v>
      </c>
      <c r="AC25" s="11" t="s">
        <v>169</v>
      </c>
      <c r="AD25" s="11" t="s">
        <v>170</v>
      </c>
      <c r="AE25" s="11" t="s">
        <v>171</v>
      </c>
      <c r="AF25" s="11" t="s">
        <v>172</v>
      </c>
      <c r="AG25" s="11" t="s">
        <v>173</v>
      </c>
      <c r="AH25" s="11" t="s">
        <v>141</v>
      </c>
      <c r="AI25" s="11" t="s">
        <v>142</v>
      </c>
      <c r="AJ25" s="20" t="s">
        <v>11</v>
      </c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7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</row>
    <row r="26" spans="1:125" s="13" customFormat="1" x14ac:dyDescent="0.2">
      <c r="A26" s="31" t="s">
        <v>388</v>
      </c>
      <c r="B26" s="15" t="s">
        <v>140</v>
      </c>
      <c r="C26" s="15" t="s">
        <v>6</v>
      </c>
      <c r="D26" s="15" t="s">
        <v>144</v>
      </c>
      <c r="E26" s="15" t="s">
        <v>145</v>
      </c>
      <c r="F26" s="15" t="s">
        <v>146</v>
      </c>
      <c r="G26" s="15" t="s">
        <v>147</v>
      </c>
      <c r="H26" s="15" t="s">
        <v>148</v>
      </c>
      <c r="I26" s="15" t="s">
        <v>149</v>
      </c>
      <c r="J26" s="15" t="s">
        <v>150</v>
      </c>
      <c r="K26" s="15" t="s">
        <v>151</v>
      </c>
      <c r="L26" s="15" t="s">
        <v>152</v>
      </c>
      <c r="M26" s="15" t="s">
        <v>153</v>
      </c>
      <c r="N26" s="15" t="s">
        <v>154</v>
      </c>
      <c r="O26" s="15" t="s">
        <v>155</v>
      </c>
      <c r="P26" s="15" t="s">
        <v>389</v>
      </c>
      <c r="Q26" s="15" t="s">
        <v>390</v>
      </c>
      <c r="R26" s="15" t="s">
        <v>391</v>
      </c>
      <c r="S26" s="15" t="s">
        <v>392</v>
      </c>
      <c r="T26" s="15" t="s">
        <v>393</v>
      </c>
      <c r="U26" s="15" t="s">
        <v>394</v>
      </c>
      <c r="V26" s="15" t="s">
        <v>343</v>
      </c>
      <c r="W26" s="15" t="s">
        <v>344</v>
      </c>
      <c r="X26" s="15" t="s">
        <v>395</v>
      </c>
      <c r="Y26" s="15" t="s">
        <v>396</v>
      </c>
      <c r="Z26" s="15" t="s">
        <v>397</v>
      </c>
      <c r="AA26" s="15" t="s">
        <v>398</v>
      </c>
      <c r="AB26" s="15" t="s">
        <v>376</v>
      </c>
      <c r="AC26" s="15" t="s">
        <v>376</v>
      </c>
      <c r="AD26" s="15" t="s">
        <v>399</v>
      </c>
      <c r="AE26" s="15" t="s">
        <v>400</v>
      </c>
      <c r="AF26" s="15" t="s">
        <v>141</v>
      </c>
      <c r="AG26" s="15" t="s">
        <v>142</v>
      </c>
      <c r="AH26" s="15" t="s">
        <v>11</v>
      </c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7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</row>
    <row r="27" spans="1:125" s="13" customFormat="1" x14ac:dyDescent="0.2">
      <c r="A27" s="32"/>
      <c r="B27" s="15" t="s">
        <v>143</v>
      </c>
      <c r="C27" s="15" t="s">
        <v>6</v>
      </c>
      <c r="D27" s="15" t="s">
        <v>144</v>
      </c>
      <c r="E27" s="15" t="s">
        <v>145</v>
      </c>
      <c r="F27" s="15" t="s">
        <v>146</v>
      </c>
      <c r="G27" s="15" t="s">
        <v>147</v>
      </c>
      <c r="H27" s="15" t="s">
        <v>148</v>
      </c>
      <c r="I27" s="15" t="s">
        <v>149</v>
      </c>
      <c r="J27" s="15" t="s">
        <v>150</v>
      </c>
      <c r="K27" s="15" t="s">
        <v>151</v>
      </c>
      <c r="L27" s="15" t="s">
        <v>152</v>
      </c>
      <c r="M27" s="15" t="s">
        <v>153</v>
      </c>
      <c r="N27" s="15" t="s">
        <v>154</v>
      </c>
      <c r="O27" s="15" t="s">
        <v>155</v>
      </c>
      <c r="P27" s="15" t="s">
        <v>389</v>
      </c>
      <c r="Q27" s="15" t="s">
        <v>390</v>
      </c>
      <c r="R27" s="15" t="s">
        <v>391</v>
      </c>
      <c r="S27" s="15" t="s">
        <v>392</v>
      </c>
      <c r="T27" s="15" t="s">
        <v>393</v>
      </c>
      <c r="U27" s="15" t="s">
        <v>394</v>
      </c>
      <c r="V27" s="15" t="s">
        <v>343</v>
      </c>
      <c r="W27" s="15" t="s">
        <v>344</v>
      </c>
      <c r="X27" s="15" t="s">
        <v>141</v>
      </c>
      <c r="Y27" s="15" t="s">
        <v>142</v>
      </c>
      <c r="Z27" s="15" t="s">
        <v>11</v>
      </c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7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</row>
    <row r="28" spans="1:125" s="13" customFormat="1" x14ac:dyDescent="0.2">
      <c r="A28" s="34" t="s">
        <v>401</v>
      </c>
      <c r="B28" s="11" t="s">
        <v>140</v>
      </c>
      <c r="C28" s="11" t="s">
        <v>6</v>
      </c>
      <c r="D28" s="11" t="s">
        <v>144</v>
      </c>
      <c r="E28" s="11" t="s">
        <v>145</v>
      </c>
      <c r="F28" s="11" t="s">
        <v>146</v>
      </c>
      <c r="G28" s="11" t="s">
        <v>147</v>
      </c>
      <c r="H28" s="11" t="s">
        <v>148</v>
      </c>
      <c r="I28" s="11" t="s">
        <v>149</v>
      </c>
      <c r="J28" s="11" t="s">
        <v>150</v>
      </c>
      <c r="K28" s="11" t="s">
        <v>151</v>
      </c>
      <c r="L28" s="11" t="s">
        <v>152</v>
      </c>
      <c r="M28" s="11" t="s">
        <v>153</v>
      </c>
      <c r="N28" s="11" t="s">
        <v>154</v>
      </c>
      <c r="O28" s="11" t="s">
        <v>155</v>
      </c>
      <c r="P28" s="11" t="s">
        <v>389</v>
      </c>
      <c r="Q28" s="11" t="s">
        <v>19</v>
      </c>
      <c r="R28" s="11" t="s">
        <v>391</v>
      </c>
      <c r="S28" s="11" t="s">
        <v>392</v>
      </c>
      <c r="T28" s="11" t="s">
        <v>393</v>
      </c>
      <c r="U28" s="11" t="s">
        <v>394</v>
      </c>
      <c r="V28" s="11" t="s">
        <v>343</v>
      </c>
      <c r="W28" s="11" t="s">
        <v>344</v>
      </c>
      <c r="X28" s="11" t="s">
        <v>141</v>
      </c>
      <c r="Y28" s="11" t="s">
        <v>142</v>
      </c>
      <c r="Z28" s="20" t="s">
        <v>11</v>
      </c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7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</row>
    <row r="29" spans="1:125" s="13" customFormat="1" x14ac:dyDescent="0.2">
      <c r="A29" s="35"/>
      <c r="B29" s="11" t="s">
        <v>143</v>
      </c>
      <c r="C29" s="11" t="s">
        <v>6</v>
      </c>
      <c r="D29" s="11" t="s">
        <v>144</v>
      </c>
      <c r="E29" s="11" t="s">
        <v>145</v>
      </c>
      <c r="F29" s="11" t="s">
        <v>146</v>
      </c>
      <c r="G29" s="11" t="s">
        <v>147</v>
      </c>
      <c r="H29" s="11" t="s">
        <v>148</v>
      </c>
      <c r="I29" s="11" t="s">
        <v>149</v>
      </c>
      <c r="J29" s="11" t="s">
        <v>150</v>
      </c>
      <c r="K29" s="11" t="s">
        <v>151</v>
      </c>
      <c r="L29" s="11" t="s">
        <v>152</v>
      </c>
      <c r="M29" s="11" t="s">
        <v>153</v>
      </c>
      <c r="N29" s="11" t="s">
        <v>154</v>
      </c>
      <c r="O29" s="11" t="s">
        <v>155</v>
      </c>
      <c r="P29" s="11" t="s">
        <v>389</v>
      </c>
      <c r="Q29" s="11" t="s">
        <v>19</v>
      </c>
      <c r="R29" s="11" t="s">
        <v>343</v>
      </c>
      <c r="S29" s="11" t="s">
        <v>344</v>
      </c>
      <c r="T29" s="11" t="s">
        <v>395</v>
      </c>
      <c r="U29" s="11" t="s">
        <v>396</v>
      </c>
      <c r="V29" s="11" t="s">
        <v>397</v>
      </c>
      <c r="W29" s="11" t="s">
        <v>398</v>
      </c>
      <c r="X29" s="11" t="s">
        <v>376</v>
      </c>
      <c r="Y29" s="11" t="s">
        <v>376</v>
      </c>
      <c r="Z29" s="11" t="s">
        <v>399</v>
      </c>
      <c r="AA29" s="11" t="s">
        <v>400</v>
      </c>
      <c r="AB29" s="11" t="s">
        <v>141</v>
      </c>
      <c r="AC29" s="11" t="s">
        <v>142</v>
      </c>
      <c r="AD29" s="20" t="s">
        <v>11</v>
      </c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7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</row>
    <row r="30" spans="1:125" s="13" customFormat="1" x14ac:dyDescent="0.2">
      <c r="A30" s="31" t="s">
        <v>402</v>
      </c>
      <c r="B30" s="15" t="s">
        <v>140</v>
      </c>
      <c r="C30" s="15" t="s">
        <v>6</v>
      </c>
      <c r="D30" s="15" t="s">
        <v>144</v>
      </c>
      <c r="E30" s="15" t="s">
        <v>145</v>
      </c>
      <c r="F30" s="15" t="s">
        <v>146</v>
      </c>
      <c r="G30" s="15" t="s">
        <v>147</v>
      </c>
      <c r="H30" s="15" t="s">
        <v>148</v>
      </c>
      <c r="I30" s="15" t="s">
        <v>149</v>
      </c>
      <c r="J30" s="15" t="s">
        <v>150</v>
      </c>
      <c r="K30" s="15" t="s">
        <v>151</v>
      </c>
      <c r="L30" s="15" t="s">
        <v>152</v>
      </c>
      <c r="M30" s="15" t="s">
        <v>153</v>
      </c>
      <c r="N30" s="15" t="s">
        <v>154</v>
      </c>
      <c r="O30" s="15" t="s">
        <v>155</v>
      </c>
      <c r="P30" s="15" t="s">
        <v>10</v>
      </c>
      <c r="Q30" s="15" t="s">
        <v>390</v>
      </c>
      <c r="R30" s="15" t="s">
        <v>278</v>
      </c>
      <c r="S30" s="15" t="s">
        <v>279</v>
      </c>
      <c r="T30" s="15" t="s">
        <v>280</v>
      </c>
      <c r="U30" s="15" t="s">
        <v>281</v>
      </c>
      <c r="V30" s="15" t="s">
        <v>282</v>
      </c>
      <c r="W30" s="15" t="s">
        <v>283</v>
      </c>
      <c r="X30" s="15" t="s">
        <v>284</v>
      </c>
      <c r="Y30" s="15" t="s">
        <v>285</v>
      </c>
      <c r="Z30" s="15" t="s">
        <v>286</v>
      </c>
      <c r="AA30" s="15" t="s">
        <v>287</v>
      </c>
      <c r="AB30" s="15" t="s">
        <v>288</v>
      </c>
      <c r="AC30" s="15" t="s">
        <v>289</v>
      </c>
      <c r="AD30" s="15" t="s">
        <v>290</v>
      </c>
      <c r="AE30" s="15" t="s">
        <v>291</v>
      </c>
      <c r="AF30" s="15" t="s">
        <v>292</v>
      </c>
      <c r="AG30" s="15" t="s">
        <v>293</v>
      </c>
      <c r="AH30" s="15" t="s">
        <v>403</v>
      </c>
      <c r="AI30" s="15" t="s">
        <v>404</v>
      </c>
      <c r="AJ30" s="15" t="s">
        <v>405</v>
      </c>
      <c r="AK30" s="15" t="s">
        <v>406</v>
      </c>
      <c r="AL30" s="15" t="s">
        <v>407</v>
      </c>
      <c r="AM30" s="15" t="s">
        <v>408</v>
      </c>
      <c r="AN30" s="15" t="s">
        <v>409</v>
      </c>
      <c r="AO30" s="15" t="s">
        <v>410</v>
      </c>
      <c r="AP30" s="15" t="s">
        <v>411</v>
      </c>
      <c r="AQ30" s="15" t="s">
        <v>412</v>
      </c>
      <c r="AR30" s="15" t="s">
        <v>413</v>
      </c>
      <c r="AS30" s="15" t="s">
        <v>414</v>
      </c>
      <c r="AT30" s="15" t="s">
        <v>415</v>
      </c>
      <c r="AU30" s="15" t="s">
        <v>416</v>
      </c>
      <c r="AV30" s="15" t="s">
        <v>417</v>
      </c>
      <c r="AW30" s="15" t="s">
        <v>377</v>
      </c>
      <c r="AX30" s="15" t="s">
        <v>207</v>
      </c>
      <c r="AY30" s="15" t="s">
        <v>208</v>
      </c>
      <c r="AZ30" s="15" t="s">
        <v>209</v>
      </c>
      <c r="BA30" s="15" t="s">
        <v>210</v>
      </c>
      <c r="BB30" s="15" t="s">
        <v>211</v>
      </c>
      <c r="BC30" s="15" t="s">
        <v>212</v>
      </c>
      <c r="BD30" s="15" t="s">
        <v>213</v>
      </c>
      <c r="BE30" s="15" t="s">
        <v>214</v>
      </c>
      <c r="BF30" s="15" t="s">
        <v>141</v>
      </c>
      <c r="BG30" s="15" t="s">
        <v>142</v>
      </c>
      <c r="BH30" s="15" t="s">
        <v>11</v>
      </c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7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</row>
    <row r="31" spans="1:125" s="13" customFormat="1" x14ac:dyDescent="0.2">
      <c r="A31" s="32"/>
      <c r="B31" s="15" t="s">
        <v>143</v>
      </c>
      <c r="C31" s="15" t="s">
        <v>6</v>
      </c>
      <c r="D31" s="15" t="s">
        <v>144</v>
      </c>
      <c r="E31" s="15" t="s">
        <v>145</v>
      </c>
      <c r="F31" s="15" t="s">
        <v>146</v>
      </c>
      <c r="G31" s="15" t="s">
        <v>147</v>
      </c>
      <c r="H31" s="15" t="s">
        <v>148</v>
      </c>
      <c r="I31" s="15" t="s">
        <v>149</v>
      </c>
      <c r="J31" s="15" t="s">
        <v>150</v>
      </c>
      <c r="K31" s="15" t="s">
        <v>151</v>
      </c>
      <c r="L31" s="15" t="s">
        <v>152</v>
      </c>
      <c r="M31" s="15" t="s">
        <v>153</v>
      </c>
      <c r="N31" s="15" t="s">
        <v>154</v>
      </c>
      <c r="O31" s="15" t="s">
        <v>155</v>
      </c>
      <c r="P31" s="15" t="s">
        <v>10</v>
      </c>
      <c r="Q31" s="15" t="s">
        <v>390</v>
      </c>
      <c r="R31" s="15">
        <v>0</v>
      </c>
      <c r="S31" s="15">
        <v>0</v>
      </c>
      <c r="T31" s="15" t="s">
        <v>141</v>
      </c>
      <c r="U31" s="15" t="s">
        <v>142</v>
      </c>
      <c r="V31" s="15" t="s">
        <v>11</v>
      </c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7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</row>
    <row r="32" spans="1:125" s="24" customFormat="1" x14ac:dyDescent="0.2">
      <c r="A32" s="34" t="s">
        <v>418</v>
      </c>
      <c r="B32" s="11" t="s">
        <v>140</v>
      </c>
      <c r="C32" s="11" t="s">
        <v>6</v>
      </c>
      <c r="D32" s="11" t="s">
        <v>144</v>
      </c>
      <c r="E32" s="11" t="s">
        <v>145</v>
      </c>
      <c r="F32" s="11" t="s">
        <v>146</v>
      </c>
      <c r="G32" s="11" t="s">
        <v>147</v>
      </c>
      <c r="H32" s="11" t="s">
        <v>148</v>
      </c>
      <c r="I32" s="11" t="s">
        <v>149</v>
      </c>
      <c r="J32" s="11" t="s">
        <v>150</v>
      </c>
      <c r="K32" s="11" t="s">
        <v>151</v>
      </c>
      <c r="L32" s="11" t="s">
        <v>152</v>
      </c>
      <c r="M32" s="11" t="s">
        <v>153</v>
      </c>
      <c r="N32" s="11" t="s">
        <v>154</v>
      </c>
      <c r="O32" s="11" t="s">
        <v>155</v>
      </c>
      <c r="P32" s="11" t="s">
        <v>19</v>
      </c>
      <c r="Q32" s="11" t="s">
        <v>10</v>
      </c>
      <c r="R32" s="11" t="s">
        <v>141</v>
      </c>
      <c r="S32" s="11" t="s">
        <v>142</v>
      </c>
      <c r="T32" s="11" t="s">
        <v>11</v>
      </c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7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</row>
    <row r="33" spans="1:125" s="24" customFormat="1" x14ac:dyDescent="0.2">
      <c r="A33" s="35"/>
      <c r="B33" s="11" t="s">
        <v>143</v>
      </c>
      <c r="C33" s="11" t="s">
        <v>6</v>
      </c>
      <c r="D33" s="11" t="s">
        <v>144</v>
      </c>
      <c r="E33" s="11" t="s">
        <v>145</v>
      </c>
      <c r="F33" s="11" t="s">
        <v>146</v>
      </c>
      <c r="G33" s="11" t="s">
        <v>147</v>
      </c>
      <c r="H33" s="11" t="s">
        <v>148</v>
      </c>
      <c r="I33" s="11" t="s">
        <v>149</v>
      </c>
      <c r="J33" s="11" t="s">
        <v>150</v>
      </c>
      <c r="K33" s="11" t="s">
        <v>151</v>
      </c>
      <c r="L33" s="11" t="s">
        <v>152</v>
      </c>
      <c r="M33" s="11" t="s">
        <v>153</v>
      </c>
      <c r="N33" s="11" t="s">
        <v>154</v>
      </c>
      <c r="O33" s="11" t="s">
        <v>155</v>
      </c>
      <c r="P33" s="11" t="s">
        <v>19</v>
      </c>
      <c r="Q33" s="11" t="s">
        <v>10</v>
      </c>
      <c r="R33" s="11" t="s">
        <v>419</v>
      </c>
      <c r="S33" s="11" t="s">
        <v>420</v>
      </c>
      <c r="T33" s="11" t="s">
        <v>421</v>
      </c>
      <c r="U33" s="11" t="s">
        <v>422</v>
      </c>
      <c r="V33" s="11" t="s">
        <v>423</v>
      </c>
      <c r="W33" s="11" t="s">
        <v>424</v>
      </c>
      <c r="X33" s="11" t="s">
        <v>425</v>
      </c>
      <c r="Y33" s="11" t="s">
        <v>426</v>
      </c>
      <c r="Z33" s="11" t="s">
        <v>427</v>
      </c>
      <c r="AA33" s="11" t="s">
        <v>428</v>
      </c>
      <c r="AB33" s="11" t="s">
        <v>429</v>
      </c>
      <c r="AC33" s="11" t="s">
        <v>430</v>
      </c>
      <c r="AD33" s="11" t="s">
        <v>431</v>
      </c>
      <c r="AE33" s="11" t="s">
        <v>432</v>
      </c>
      <c r="AF33" s="11" t="s">
        <v>433</v>
      </c>
      <c r="AG33" s="11" t="s">
        <v>434</v>
      </c>
      <c r="AH33" s="11" t="s">
        <v>435</v>
      </c>
      <c r="AI33" s="11" t="s">
        <v>436</v>
      </c>
      <c r="AJ33" s="11" t="s">
        <v>437</v>
      </c>
      <c r="AK33" s="11" t="s">
        <v>438</v>
      </c>
      <c r="AL33" s="11" t="s">
        <v>439</v>
      </c>
      <c r="AM33" s="11" t="s">
        <v>440</v>
      </c>
      <c r="AN33" s="11" t="s">
        <v>441</v>
      </c>
      <c r="AO33" s="11" t="s">
        <v>442</v>
      </c>
      <c r="AP33" s="11" t="s">
        <v>443</v>
      </c>
      <c r="AQ33" s="11" t="s">
        <v>444</v>
      </c>
      <c r="AR33" s="11" t="s">
        <v>445</v>
      </c>
      <c r="AS33" s="11" t="s">
        <v>446</v>
      </c>
      <c r="AT33" s="11" t="s">
        <v>447</v>
      </c>
      <c r="AU33" s="11" t="s">
        <v>448</v>
      </c>
      <c r="AV33" s="11" t="s">
        <v>449</v>
      </c>
      <c r="AW33" s="11" t="s">
        <v>450</v>
      </c>
      <c r="AX33" s="11" t="s">
        <v>207</v>
      </c>
      <c r="AY33" s="11" t="s">
        <v>208</v>
      </c>
      <c r="AZ33" s="11" t="s">
        <v>209</v>
      </c>
      <c r="BA33" s="11" t="s">
        <v>210</v>
      </c>
      <c r="BB33" s="11" t="s">
        <v>211</v>
      </c>
      <c r="BC33" s="11" t="s">
        <v>212</v>
      </c>
      <c r="BD33" s="11" t="s">
        <v>213</v>
      </c>
      <c r="BE33" s="11" t="s">
        <v>214</v>
      </c>
      <c r="BF33" s="11" t="s">
        <v>141</v>
      </c>
      <c r="BG33" s="11" t="s">
        <v>142</v>
      </c>
      <c r="BH33" s="11" t="s">
        <v>11</v>
      </c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7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</row>
    <row r="34" spans="1:125" s="13" customFormat="1" x14ac:dyDescent="0.2">
      <c r="A34" s="31" t="s">
        <v>451</v>
      </c>
      <c r="B34" s="15" t="s">
        <v>140</v>
      </c>
      <c r="C34" s="15" t="s">
        <v>6</v>
      </c>
      <c r="D34" s="15" t="s">
        <v>144</v>
      </c>
      <c r="E34" s="15" t="s">
        <v>145</v>
      </c>
      <c r="F34" s="15" t="s">
        <v>146</v>
      </c>
      <c r="G34" s="15" t="s">
        <v>147</v>
      </c>
      <c r="H34" s="15" t="s">
        <v>148</v>
      </c>
      <c r="I34" s="15" t="s">
        <v>149</v>
      </c>
      <c r="J34" s="15" t="s">
        <v>150</v>
      </c>
      <c r="K34" s="15" t="s">
        <v>151</v>
      </c>
      <c r="L34" s="15" t="s">
        <v>152</v>
      </c>
      <c r="M34" s="15" t="s">
        <v>153</v>
      </c>
      <c r="N34" s="15" t="s">
        <v>154</v>
      </c>
      <c r="O34" s="15" t="s">
        <v>155</v>
      </c>
      <c r="P34" s="15" t="s">
        <v>390</v>
      </c>
      <c r="Q34" s="15" t="s">
        <v>18</v>
      </c>
      <c r="R34" s="15" t="s">
        <v>317</v>
      </c>
      <c r="S34" s="15" t="s">
        <v>318</v>
      </c>
      <c r="T34" s="15" t="s">
        <v>319</v>
      </c>
      <c r="U34" s="15" t="s">
        <v>320</v>
      </c>
      <c r="V34" s="15" t="s">
        <v>443</v>
      </c>
      <c r="W34" s="15" t="s">
        <v>444</v>
      </c>
      <c r="X34" s="15" t="s">
        <v>445</v>
      </c>
      <c r="Y34" s="15" t="s">
        <v>446</v>
      </c>
      <c r="Z34" s="15" t="s">
        <v>447</v>
      </c>
      <c r="AA34" s="15" t="s">
        <v>448</v>
      </c>
      <c r="AB34" s="15" t="s">
        <v>449</v>
      </c>
      <c r="AC34" s="15" t="s">
        <v>450</v>
      </c>
      <c r="AD34" s="15" t="s">
        <v>207</v>
      </c>
      <c r="AE34" s="15" t="s">
        <v>208</v>
      </c>
      <c r="AF34" s="15" t="s">
        <v>209</v>
      </c>
      <c r="AG34" s="15" t="s">
        <v>210</v>
      </c>
      <c r="AH34" s="15" t="s">
        <v>211</v>
      </c>
      <c r="AI34" s="15" t="s">
        <v>212</v>
      </c>
      <c r="AJ34" s="15" t="s">
        <v>213</v>
      </c>
      <c r="AK34" s="15" t="s">
        <v>214</v>
      </c>
      <c r="AL34" s="15" t="s">
        <v>141</v>
      </c>
      <c r="AM34" s="15" t="s">
        <v>142</v>
      </c>
      <c r="AN34" s="15" t="s">
        <v>11</v>
      </c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7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</row>
    <row r="35" spans="1:125" s="13" customFormat="1" x14ac:dyDescent="0.2">
      <c r="A35" s="32"/>
      <c r="B35" s="15" t="s">
        <v>143</v>
      </c>
      <c r="C35" s="15" t="s">
        <v>6</v>
      </c>
      <c r="D35" s="15" t="s">
        <v>144</v>
      </c>
      <c r="E35" s="15" t="s">
        <v>145</v>
      </c>
      <c r="F35" s="15" t="s">
        <v>146</v>
      </c>
      <c r="G35" s="15" t="s">
        <v>147</v>
      </c>
      <c r="H35" s="15" t="s">
        <v>148</v>
      </c>
      <c r="I35" s="15" t="s">
        <v>149</v>
      </c>
      <c r="J35" s="15" t="s">
        <v>150</v>
      </c>
      <c r="K35" s="15" t="s">
        <v>151</v>
      </c>
      <c r="L35" s="15" t="s">
        <v>152</v>
      </c>
      <c r="M35" s="15" t="s">
        <v>153</v>
      </c>
      <c r="N35" s="15" t="s">
        <v>154</v>
      </c>
      <c r="O35" s="15" t="s">
        <v>155</v>
      </c>
      <c r="P35" s="15" t="s">
        <v>390</v>
      </c>
      <c r="Q35" s="15" t="s">
        <v>18</v>
      </c>
      <c r="R35" s="15">
        <v>0</v>
      </c>
      <c r="S35" s="15">
        <v>0</v>
      </c>
      <c r="T35" s="15" t="s">
        <v>141</v>
      </c>
      <c r="U35" s="15" t="s">
        <v>142</v>
      </c>
      <c r="V35" s="15" t="s">
        <v>11</v>
      </c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7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</row>
    <row r="36" spans="1:125" s="24" customFormat="1" x14ac:dyDescent="0.2">
      <c r="A36" s="34" t="s">
        <v>452</v>
      </c>
      <c r="B36" s="11" t="s">
        <v>140</v>
      </c>
      <c r="C36" s="11" t="s">
        <v>6</v>
      </c>
      <c r="D36" s="11" t="s">
        <v>144</v>
      </c>
      <c r="E36" s="11" t="s">
        <v>145</v>
      </c>
      <c r="F36" s="11" t="s">
        <v>146</v>
      </c>
      <c r="G36" s="11" t="s">
        <v>147</v>
      </c>
      <c r="H36" s="11" t="s">
        <v>148</v>
      </c>
      <c r="I36" s="11" t="s">
        <v>149</v>
      </c>
      <c r="J36" s="11" t="s">
        <v>150</v>
      </c>
      <c r="K36" s="11" t="s">
        <v>151</v>
      </c>
      <c r="L36" s="11" t="s">
        <v>152</v>
      </c>
      <c r="M36" s="11" t="s">
        <v>153</v>
      </c>
      <c r="N36" s="11" t="s">
        <v>154</v>
      </c>
      <c r="O36" s="11" t="s">
        <v>155</v>
      </c>
      <c r="P36" s="11" t="s">
        <v>382</v>
      </c>
      <c r="Q36" s="11" t="s">
        <v>10</v>
      </c>
      <c r="R36" s="11" t="s">
        <v>453</v>
      </c>
      <c r="S36" s="11" t="s">
        <v>454</v>
      </c>
      <c r="T36" s="11" t="s">
        <v>455</v>
      </c>
      <c r="U36" s="11" t="s">
        <v>456</v>
      </c>
      <c r="V36" s="11" t="s">
        <v>457</v>
      </c>
      <c r="W36" s="11" t="s">
        <v>458</v>
      </c>
      <c r="X36" s="11" t="s">
        <v>141</v>
      </c>
      <c r="Y36" s="11" t="s">
        <v>142</v>
      </c>
      <c r="Z36" s="11" t="s">
        <v>11</v>
      </c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7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</row>
    <row r="37" spans="1:125" s="24" customFormat="1" x14ac:dyDescent="0.2">
      <c r="A37" s="35"/>
      <c r="B37" s="11" t="s">
        <v>143</v>
      </c>
      <c r="C37" s="11" t="s">
        <v>6</v>
      </c>
      <c r="D37" s="11" t="s">
        <v>144</v>
      </c>
      <c r="E37" s="11" t="s">
        <v>145</v>
      </c>
      <c r="F37" s="11" t="s">
        <v>146</v>
      </c>
      <c r="G37" s="11" t="s">
        <v>147</v>
      </c>
      <c r="H37" s="11" t="s">
        <v>148</v>
      </c>
      <c r="I37" s="11" t="s">
        <v>149</v>
      </c>
      <c r="J37" s="11" t="s">
        <v>150</v>
      </c>
      <c r="K37" s="11" t="s">
        <v>151</v>
      </c>
      <c r="L37" s="11" t="s">
        <v>152</v>
      </c>
      <c r="M37" s="11" t="s">
        <v>153</v>
      </c>
      <c r="N37" s="11" t="s">
        <v>154</v>
      </c>
      <c r="O37" s="11" t="s">
        <v>155</v>
      </c>
      <c r="P37" s="11" t="s">
        <v>382</v>
      </c>
      <c r="Q37" s="11" t="s">
        <v>10</v>
      </c>
      <c r="R37" s="11">
        <v>0</v>
      </c>
      <c r="S37" s="11">
        <v>0</v>
      </c>
      <c r="T37" s="11" t="s">
        <v>141</v>
      </c>
      <c r="U37" s="11" t="s">
        <v>142</v>
      </c>
      <c r="V37" s="11" t="s">
        <v>11</v>
      </c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7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</row>
    <row r="38" spans="1:125" s="13" customFormat="1" x14ac:dyDescent="0.2">
      <c r="A38" s="31" t="s">
        <v>459</v>
      </c>
      <c r="B38" s="15" t="s">
        <v>140</v>
      </c>
      <c r="C38" s="15" t="s">
        <v>6</v>
      </c>
      <c r="D38" s="15" t="s">
        <v>144</v>
      </c>
      <c r="E38" s="15" t="s">
        <v>145</v>
      </c>
      <c r="F38" s="15" t="s">
        <v>146</v>
      </c>
      <c r="G38" s="15" t="s">
        <v>147</v>
      </c>
      <c r="H38" s="15" t="s">
        <v>148</v>
      </c>
      <c r="I38" s="15" t="s">
        <v>149</v>
      </c>
      <c r="J38" s="15" t="s">
        <v>150</v>
      </c>
      <c r="K38" s="15" t="s">
        <v>151</v>
      </c>
      <c r="L38" s="15" t="s">
        <v>152</v>
      </c>
      <c r="M38" s="15" t="s">
        <v>153</v>
      </c>
      <c r="N38" s="15" t="s">
        <v>154</v>
      </c>
      <c r="O38" s="15" t="s">
        <v>155</v>
      </c>
      <c r="P38" s="15" t="s">
        <v>382</v>
      </c>
      <c r="Q38" s="15" t="s">
        <v>17</v>
      </c>
      <c r="R38" s="15" t="s">
        <v>460</v>
      </c>
      <c r="S38" s="15" t="s">
        <v>461</v>
      </c>
      <c r="T38" s="15" t="s">
        <v>462</v>
      </c>
      <c r="U38" s="15" t="s">
        <v>463</v>
      </c>
      <c r="V38" s="15" t="s">
        <v>464</v>
      </c>
      <c r="W38" s="15" t="s">
        <v>465</v>
      </c>
      <c r="X38" s="15" t="s">
        <v>466</v>
      </c>
      <c r="Y38" s="15" t="s">
        <v>467</v>
      </c>
      <c r="Z38" s="15" t="s">
        <v>468</v>
      </c>
      <c r="AA38" s="15" t="s">
        <v>469</v>
      </c>
      <c r="AB38" s="15" t="s">
        <v>470</v>
      </c>
      <c r="AC38" s="15" t="s">
        <v>471</v>
      </c>
      <c r="AD38" s="15" t="s">
        <v>472</v>
      </c>
      <c r="AE38" s="15" t="s">
        <v>473</v>
      </c>
      <c r="AF38" s="15" t="s">
        <v>474</v>
      </c>
      <c r="AG38" s="15" t="s">
        <v>475</v>
      </c>
      <c r="AH38" s="15" t="s">
        <v>476</v>
      </c>
      <c r="AI38" s="15" t="s">
        <v>477</v>
      </c>
      <c r="AJ38" s="15" t="s">
        <v>478</v>
      </c>
      <c r="AK38" s="15" t="s">
        <v>479</v>
      </c>
      <c r="AL38" s="15" t="s">
        <v>480</v>
      </c>
      <c r="AM38" s="15" t="s">
        <v>481</v>
      </c>
      <c r="AN38" s="15" t="s">
        <v>482</v>
      </c>
      <c r="AO38" s="15" t="s">
        <v>483</v>
      </c>
      <c r="AP38" s="15" t="s">
        <v>484</v>
      </c>
      <c r="AQ38" s="15" t="s">
        <v>485</v>
      </c>
      <c r="AR38" s="15" t="s">
        <v>486</v>
      </c>
      <c r="AS38" s="15" t="s">
        <v>487</v>
      </c>
      <c r="AT38" s="15" t="s">
        <v>488</v>
      </c>
      <c r="AU38" s="15" t="s">
        <v>489</v>
      </c>
      <c r="AV38" s="15" t="s">
        <v>490</v>
      </c>
      <c r="AW38" s="15" t="s">
        <v>491</v>
      </c>
      <c r="AX38" s="15" t="s">
        <v>141</v>
      </c>
      <c r="AY38" s="15" t="s">
        <v>142</v>
      </c>
      <c r="AZ38" s="15" t="s">
        <v>11</v>
      </c>
      <c r="BA38" s="15"/>
      <c r="BB38" s="15"/>
      <c r="BC38" s="15"/>
      <c r="BD38" s="15"/>
      <c r="BE38" s="15"/>
      <c r="BF38" s="15"/>
      <c r="BG38" s="15"/>
      <c r="BH38" s="15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7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</row>
    <row r="39" spans="1:125" s="13" customFormat="1" x14ac:dyDescent="0.2">
      <c r="A39" s="32"/>
      <c r="B39" s="15" t="s">
        <v>143</v>
      </c>
      <c r="C39" s="15" t="s">
        <v>6</v>
      </c>
      <c r="D39" s="15" t="s">
        <v>144</v>
      </c>
      <c r="E39" s="15" t="s">
        <v>145</v>
      </c>
      <c r="F39" s="15" t="s">
        <v>146</v>
      </c>
      <c r="G39" s="15" t="s">
        <v>147</v>
      </c>
      <c r="H39" s="15" t="s">
        <v>148</v>
      </c>
      <c r="I39" s="15" t="s">
        <v>149</v>
      </c>
      <c r="J39" s="15" t="s">
        <v>150</v>
      </c>
      <c r="K39" s="15" t="s">
        <v>151</v>
      </c>
      <c r="L39" s="15" t="s">
        <v>152</v>
      </c>
      <c r="M39" s="15" t="s">
        <v>153</v>
      </c>
      <c r="N39" s="15" t="s">
        <v>154</v>
      </c>
      <c r="O39" s="15" t="s">
        <v>155</v>
      </c>
      <c r="P39" s="15" t="s">
        <v>382</v>
      </c>
      <c r="Q39" s="15" t="s">
        <v>17</v>
      </c>
      <c r="R39" s="15">
        <v>0</v>
      </c>
      <c r="S39" s="15">
        <v>0</v>
      </c>
      <c r="T39" s="15"/>
      <c r="U39" s="15"/>
      <c r="V39" s="15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7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</row>
    <row r="40" spans="1:125" s="24" customFormat="1" x14ac:dyDescent="0.2">
      <c r="A40" s="34" t="s">
        <v>492</v>
      </c>
      <c r="B40" s="11" t="s">
        <v>140</v>
      </c>
      <c r="C40" s="11" t="s">
        <v>6</v>
      </c>
      <c r="D40" s="11" t="s">
        <v>144</v>
      </c>
      <c r="E40" s="11" t="s">
        <v>145</v>
      </c>
      <c r="F40" s="11" t="s">
        <v>146</v>
      </c>
      <c r="G40" s="11" t="s">
        <v>147</v>
      </c>
      <c r="H40" s="11" t="s">
        <v>148</v>
      </c>
      <c r="I40" s="11" t="s">
        <v>149</v>
      </c>
      <c r="J40" s="11" t="s">
        <v>150</v>
      </c>
      <c r="K40" s="11" t="s">
        <v>151</v>
      </c>
      <c r="L40" s="11" t="s">
        <v>152</v>
      </c>
      <c r="M40" s="11" t="s">
        <v>153</v>
      </c>
      <c r="N40" s="11" t="s">
        <v>154</v>
      </c>
      <c r="O40" s="11" t="s">
        <v>155</v>
      </c>
      <c r="P40" s="11" t="s">
        <v>382</v>
      </c>
      <c r="Q40" s="11" t="s">
        <v>18</v>
      </c>
      <c r="R40" s="11" t="s">
        <v>218</v>
      </c>
      <c r="S40" s="11" t="s">
        <v>219</v>
      </c>
      <c r="T40" s="11" t="s">
        <v>220</v>
      </c>
      <c r="U40" s="11" t="s">
        <v>221</v>
      </c>
      <c r="V40" s="11" t="s">
        <v>222</v>
      </c>
      <c r="W40" s="11" t="s">
        <v>223</v>
      </c>
      <c r="X40" s="11" t="s">
        <v>224</v>
      </c>
      <c r="Y40" s="11" t="s">
        <v>225</v>
      </c>
      <c r="Z40" s="11" t="s">
        <v>141</v>
      </c>
      <c r="AA40" s="11" t="s">
        <v>142</v>
      </c>
      <c r="AB40" s="11" t="s">
        <v>11</v>
      </c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7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</row>
    <row r="41" spans="1:125" s="24" customFormat="1" x14ac:dyDescent="0.2">
      <c r="A41" s="35"/>
      <c r="B41" s="11" t="s">
        <v>143</v>
      </c>
      <c r="C41" s="11" t="s">
        <v>6</v>
      </c>
      <c r="D41" s="11" t="s">
        <v>144</v>
      </c>
      <c r="E41" s="11" t="s">
        <v>145</v>
      </c>
      <c r="F41" s="11" t="s">
        <v>146</v>
      </c>
      <c r="G41" s="11" t="s">
        <v>147</v>
      </c>
      <c r="H41" s="11" t="s">
        <v>148</v>
      </c>
      <c r="I41" s="11" t="s">
        <v>149</v>
      </c>
      <c r="J41" s="11" t="s">
        <v>150</v>
      </c>
      <c r="K41" s="11" t="s">
        <v>151</v>
      </c>
      <c r="L41" s="11" t="s">
        <v>152</v>
      </c>
      <c r="M41" s="11" t="s">
        <v>153</v>
      </c>
      <c r="N41" s="11" t="s">
        <v>154</v>
      </c>
      <c r="O41" s="11" t="s">
        <v>155</v>
      </c>
      <c r="P41" s="11" t="s">
        <v>382</v>
      </c>
      <c r="Q41" s="11" t="s">
        <v>18</v>
      </c>
      <c r="R41" s="11">
        <v>0</v>
      </c>
      <c r="S41" s="11">
        <v>0</v>
      </c>
      <c r="T41" s="11" t="s">
        <v>141</v>
      </c>
      <c r="U41" s="11" t="s">
        <v>142</v>
      </c>
      <c r="V41" s="11" t="s">
        <v>11</v>
      </c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7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</row>
    <row r="42" spans="1:125" x14ac:dyDescent="0.2">
      <c r="A42" s="31" t="s">
        <v>493</v>
      </c>
      <c r="B42" s="15" t="s">
        <v>140</v>
      </c>
      <c r="C42" s="15" t="s">
        <v>6</v>
      </c>
      <c r="D42" s="15" t="s">
        <v>144</v>
      </c>
      <c r="E42" s="15" t="s">
        <v>145</v>
      </c>
      <c r="F42" s="15" t="s">
        <v>146</v>
      </c>
      <c r="G42" s="15" t="s">
        <v>147</v>
      </c>
      <c r="H42" s="15" t="s">
        <v>148</v>
      </c>
      <c r="I42" s="15" t="s">
        <v>149</v>
      </c>
      <c r="J42" s="15" t="s">
        <v>150</v>
      </c>
      <c r="K42" s="15" t="s">
        <v>151</v>
      </c>
      <c r="L42" s="15" t="s">
        <v>152</v>
      </c>
      <c r="M42" s="15" t="s">
        <v>153</v>
      </c>
      <c r="N42" s="15" t="s">
        <v>154</v>
      </c>
      <c r="O42" s="15" t="s">
        <v>155</v>
      </c>
      <c r="P42" s="15" t="s">
        <v>10</v>
      </c>
      <c r="Q42" s="15" t="s">
        <v>18</v>
      </c>
      <c r="R42" s="15" t="s">
        <v>494</v>
      </c>
      <c r="S42" s="15" t="s">
        <v>495</v>
      </c>
      <c r="T42" s="15" t="s">
        <v>496</v>
      </c>
      <c r="U42" s="15" t="s">
        <v>497</v>
      </c>
      <c r="V42" s="15" t="s">
        <v>498</v>
      </c>
      <c r="W42" s="15" t="s">
        <v>499</v>
      </c>
      <c r="X42" s="15" t="s">
        <v>141</v>
      </c>
      <c r="Y42" s="15" t="s">
        <v>142</v>
      </c>
      <c r="Z42" s="15" t="s">
        <v>11</v>
      </c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8"/>
      <c r="AY42" s="8"/>
      <c r="AZ42" s="8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</row>
    <row r="43" spans="1:125" x14ac:dyDescent="0.2">
      <c r="A43" s="32"/>
      <c r="B43" s="15" t="s">
        <v>143</v>
      </c>
      <c r="C43" s="15" t="s">
        <v>6</v>
      </c>
      <c r="D43" s="15" t="s">
        <v>144</v>
      </c>
      <c r="E43" s="15" t="s">
        <v>145</v>
      </c>
      <c r="F43" s="15" t="s">
        <v>146</v>
      </c>
      <c r="G43" s="15" t="s">
        <v>147</v>
      </c>
      <c r="H43" s="15" t="s">
        <v>148</v>
      </c>
      <c r="I43" s="15" t="s">
        <v>149</v>
      </c>
      <c r="J43" s="15" t="s">
        <v>150</v>
      </c>
      <c r="K43" s="15" t="s">
        <v>151</v>
      </c>
      <c r="L43" s="15" t="s">
        <v>152</v>
      </c>
      <c r="M43" s="15" t="s">
        <v>153</v>
      </c>
      <c r="N43" s="15" t="s">
        <v>154</v>
      </c>
      <c r="O43" s="15" t="s">
        <v>155</v>
      </c>
      <c r="P43" s="15" t="s">
        <v>10</v>
      </c>
      <c r="Q43" s="15" t="s">
        <v>18</v>
      </c>
      <c r="R43" s="15">
        <v>0</v>
      </c>
      <c r="S43" s="15">
        <v>0</v>
      </c>
      <c r="T43" s="15" t="s">
        <v>141</v>
      </c>
      <c r="U43" s="15" t="s">
        <v>142</v>
      </c>
      <c r="V43" s="15" t="s">
        <v>11</v>
      </c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</row>
    <row r="44" spans="1:125" x14ac:dyDescent="0.2">
      <c r="A44" s="34" t="s">
        <v>500</v>
      </c>
      <c r="B44" s="11" t="s">
        <v>140</v>
      </c>
      <c r="C44" s="11" t="s">
        <v>6</v>
      </c>
      <c r="D44" s="11" t="s">
        <v>144</v>
      </c>
      <c r="E44" s="11" t="s">
        <v>145</v>
      </c>
      <c r="F44" s="11" t="s">
        <v>146</v>
      </c>
      <c r="G44" s="11" t="s">
        <v>147</v>
      </c>
      <c r="H44" s="11" t="s">
        <v>148</v>
      </c>
      <c r="I44" s="11" t="s">
        <v>149</v>
      </c>
      <c r="J44" s="11" t="s">
        <v>150</v>
      </c>
      <c r="K44" s="11" t="s">
        <v>151</v>
      </c>
      <c r="L44" s="11" t="s">
        <v>152</v>
      </c>
      <c r="M44" s="11" t="s">
        <v>153</v>
      </c>
      <c r="N44" s="11" t="s">
        <v>154</v>
      </c>
      <c r="O44" s="11" t="s">
        <v>155</v>
      </c>
      <c r="P44" s="11" t="s">
        <v>10</v>
      </c>
      <c r="Q44" s="11" t="s">
        <v>19</v>
      </c>
      <c r="R44" s="11">
        <v>0</v>
      </c>
      <c r="S44" s="11">
        <v>0</v>
      </c>
      <c r="T44" s="11" t="s">
        <v>141</v>
      </c>
      <c r="U44" s="11" t="s">
        <v>142</v>
      </c>
      <c r="V44" s="11" t="s">
        <v>11</v>
      </c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</row>
    <row r="45" spans="1:125" x14ac:dyDescent="0.2">
      <c r="A45" s="35"/>
      <c r="B45" s="11" t="s">
        <v>143</v>
      </c>
      <c r="C45" s="11" t="s">
        <v>6</v>
      </c>
      <c r="D45" s="11" t="s">
        <v>144</v>
      </c>
      <c r="E45" s="11" t="s">
        <v>145</v>
      </c>
      <c r="F45" s="11" t="s">
        <v>146</v>
      </c>
      <c r="G45" s="11" t="s">
        <v>147</v>
      </c>
      <c r="H45" s="11" t="s">
        <v>148</v>
      </c>
      <c r="I45" s="11" t="s">
        <v>149</v>
      </c>
      <c r="J45" s="11" t="s">
        <v>150</v>
      </c>
      <c r="K45" s="11" t="s">
        <v>151</v>
      </c>
      <c r="L45" s="11" t="s">
        <v>152</v>
      </c>
      <c r="M45" s="11" t="s">
        <v>153</v>
      </c>
      <c r="N45" s="11" t="s">
        <v>154</v>
      </c>
      <c r="O45" s="11" t="s">
        <v>155</v>
      </c>
      <c r="P45" s="11" t="s">
        <v>10</v>
      </c>
      <c r="Q45" s="11" t="s">
        <v>19</v>
      </c>
      <c r="R45" s="11" t="s">
        <v>494</v>
      </c>
      <c r="S45" s="11" t="s">
        <v>495</v>
      </c>
      <c r="T45" s="11" t="s">
        <v>496</v>
      </c>
      <c r="U45" s="11" t="s">
        <v>497</v>
      </c>
      <c r="V45" s="11" t="s">
        <v>498</v>
      </c>
      <c r="W45" s="11" t="s">
        <v>499</v>
      </c>
      <c r="X45" s="11" t="s">
        <v>141</v>
      </c>
      <c r="Y45" s="11" t="s">
        <v>142</v>
      </c>
      <c r="Z45" s="11" t="s">
        <v>11</v>
      </c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</row>
    <row r="46" spans="1:125" x14ac:dyDescent="0.2">
      <c r="A46" s="31" t="s">
        <v>501</v>
      </c>
      <c r="B46" s="15" t="s">
        <v>140</v>
      </c>
      <c r="C46" s="15" t="s">
        <v>6</v>
      </c>
      <c r="D46" s="15" t="s">
        <v>144</v>
      </c>
      <c r="E46" s="15" t="s">
        <v>145</v>
      </c>
      <c r="F46" s="15" t="s">
        <v>146</v>
      </c>
      <c r="G46" s="15" t="s">
        <v>147</v>
      </c>
      <c r="H46" s="15" t="s">
        <v>148</v>
      </c>
      <c r="I46" s="15" t="s">
        <v>149</v>
      </c>
      <c r="J46" s="15" t="s">
        <v>150</v>
      </c>
      <c r="K46" s="15" t="s">
        <v>151</v>
      </c>
      <c r="L46" s="15" t="s">
        <v>152</v>
      </c>
      <c r="M46" s="15" t="s">
        <v>153</v>
      </c>
      <c r="N46" s="15" t="s">
        <v>154</v>
      </c>
      <c r="O46" s="15" t="s">
        <v>155</v>
      </c>
      <c r="P46" s="15" t="s">
        <v>18</v>
      </c>
      <c r="Q46" s="15" t="s">
        <v>8</v>
      </c>
      <c r="R46" s="15" t="s">
        <v>502</v>
      </c>
      <c r="S46" s="15" t="s">
        <v>503</v>
      </c>
      <c r="T46" s="15" t="s">
        <v>504</v>
      </c>
      <c r="U46" s="15" t="s">
        <v>505</v>
      </c>
      <c r="V46" s="15" t="s">
        <v>506</v>
      </c>
      <c r="W46" s="15" t="s">
        <v>507</v>
      </c>
      <c r="X46" s="15" t="s">
        <v>508</v>
      </c>
      <c r="Y46" s="15" t="s">
        <v>509</v>
      </c>
      <c r="Z46" s="15" t="s">
        <v>510</v>
      </c>
      <c r="AA46" s="15" t="s">
        <v>511</v>
      </c>
      <c r="AB46" s="15" t="s">
        <v>512</v>
      </c>
      <c r="AC46" s="15" t="s">
        <v>513</v>
      </c>
      <c r="AD46" s="15" t="s">
        <v>514</v>
      </c>
      <c r="AE46" s="15" t="s">
        <v>515</v>
      </c>
      <c r="AF46" s="15" t="s">
        <v>516</v>
      </c>
      <c r="AG46" s="15" t="s">
        <v>517</v>
      </c>
      <c r="AH46" s="15" t="s">
        <v>518</v>
      </c>
      <c r="AI46" s="15" t="s">
        <v>519</v>
      </c>
      <c r="AJ46" s="15" t="s">
        <v>520</v>
      </c>
      <c r="AK46" s="15" t="s">
        <v>521</v>
      </c>
      <c r="AL46" s="15" t="s">
        <v>522</v>
      </c>
      <c r="AM46" s="15" t="s">
        <v>523</v>
      </c>
      <c r="AN46" s="15" t="s">
        <v>524</v>
      </c>
      <c r="AO46" s="15" t="s">
        <v>525</v>
      </c>
      <c r="AP46" s="15" t="s">
        <v>526</v>
      </c>
      <c r="AQ46" s="15" t="s">
        <v>527</v>
      </c>
      <c r="AR46" s="15" t="s">
        <v>528</v>
      </c>
      <c r="AS46" s="15" t="s">
        <v>529</v>
      </c>
      <c r="AT46" s="15" t="s">
        <v>530</v>
      </c>
      <c r="AU46" s="15" t="s">
        <v>531</v>
      </c>
      <c r="AV46" s="15" t="s">
        <v>532</v>
      </c>
      <c r="AW46" s="15" t="s">
        <v>533</v>
      </c>
      <c r="AX46" s="15" t="s">
        <v>534</v>
      </c>
      <c r="AY46" s="15" t="s">
        <v>535</v>
      </c>
      <c r="AZ46" s="15" t="s">
        <v>536</v>
      </c>
      <c r="BA46" s="15" t="s">
        <v>537</v>
      </c>
      <c r="BB46" s="15" t="s">
        <v>538</v>
      </c>
      <c r="BC46" s="15" t="s">
        <v>539</v>
      </c>
      <c r="BD46" s="15" t="s">
        <v>540</v>
      </c>
      <c r="BE46" s="15" t="s">
        <v>541</v>
      </c>
      <c r="BF46" s="15" t="s">
        <v>542</v>
      </c>
      <c r="BG46" s="15" t="s">
        <v>543</v>
      </c>
      <c r="BH46" s="15" t="s">
        <v>544</v>
      </c>
      <c r="BI46" s="15" t="s">
        <v>545</v>
      </c>
      <c r="BJ46" s="15" t="s">
        <v>546</v>
      </c>
      <c r="BK46" s="15" t="s">
        <v>547</v>
      </c>
      <c r="BL46" s="15" t="s">
        <v>548</v>
      </c>
      <c r="BM46" s="15" t="s">
        <v>549</v>
      </c>
      <c r="BN46" s="15" t="s">
        <v>207</v>
      </c>
      <c r="BO46" s="15" t="s">
        <v>208</v>
      </c>
      <c r="BP46" s="15" t="s">
        <v>209</v>
      </c>
      <c r="BQ46" s="15" t="s">
        <v>210</v>
      </c>
      <c r="BR46" s="15" t="s">
        <v>211</v>
      </c>
      <c r="BS46" s="15" t="s">
        <v>212</v>
      </c>
      <c r="BT46" s="15" t="s">
        <v>213</v>
      </c>
      <c r="BU46" s="15" t="s">
        <v>214</v>
      </c>
      <c r="BV46" s="15" t="s">
        <v>141</v>
      </c>
      <c r="BW46" s="15" t="s">
        <v>142</v>
      </c>
      <c r="BX46" s="15" t="s">
        <v>11</v>
      </c>
      <c r="BY46" s="9"/>
      <c r="BZ46" s="9"/>
      <c r="CA46" s="9"/>
      <c r="CB46" s="9"/>
      <c r="CC46" s="9"/>
      <c r="CD46" s="9"/>
      <c r="CE46" s="9"/>
      <c r="CF46" s="9"/>
      <c r="CG46" s="9"/>
      <c r="CH46" s="9"/>
    </row>
    <row r="47" spans="1:125" x14ac:dyDescent="0.2">
      <c r="A47" s="32"/>
      <c r="B47" s="15" t="s">
        <v>143</v>
      </c>
      <c r="C47" s="15" t="s">
        <v>6</v>
      </c>
      <c r="D47" s="15" t="s">
        <v>144</v>
      </c>
      <c r="E47" s="15" t="s">
        <v>145</v>
      </c>
      <c r="F47" s="15" t="s">
        <v>146</v>
      </c>
      <c r="G47" s="15" t="s">
        <v>147</v>
      </c>
      <c r="H47" s="15" t="s">
        <v>148</v>
      </c>
      <c r="I47" s="15" t="s">
        <v>149</v>
      </c>
      <c r="J47" s="15" t="s">
        <v>150</v>
      </c>
      <c r="K47" s="15" t="s">
        <v>151</v>
      </c>
      <c r="L47" s="15" t="s">
        <v>152</v>
      </c>
      <c r="M47" s="15" t="s">
        <v>153</v>
      </c>
      <c r="N47" s="15" t="s">
        <v>154</v>
      </c>
      <c r="O47" s="15" t="s">
        <v>155</v>
      </c>
      <c r="P47" s="15" t="s">
        <v>18</v>
      </c>
      <c r="Q47" s="15" t="s">
        <v>8</v>
      </c>
      <c r="R47" s="15">
        <v>0</v>
      </c>
      <c r="S47" s="15">
        <v>0</v>
      </c>
      <c r="T47" s="15" t="s">
        <v>141</v>
      </c>
      <c r="U47" s="15" t="s">
        <v>142</v>
      </c>
      <c r="V47" s="15" t="s">
        <v>11</v>
      </c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</row>
    <row r="48" spans="1:125" x14ac:dyDescent="0.2">
      <c r="A48" s="34" t="s">
        <v>550</v>
      </c>
      <c r="B48" s="11" t="s">
        <v>140</v>
      </c>
      <c r="C48" s="11" t="s">
        <v>6</v>
      </c>
      <c r="D48" s="11" t="s">
        <v>144</v>
      </c>
      <c r="E48" s="11" t="s">
        <v>145</v>
      </c>
      <c r="F48" s="11" t="s">
        <v>146</v>
      </c>
      <c r="G48" s="11" t="s">
        <v>147</v>
      </c>
      <c r="H48" s="11" t="s">
        <v>148</v>
      </c>
      <c r="I48" s="11" t="s">
        <v>149</v>
      </c>
      <c r="J48" s="11" t="s">
        <v>150</v>
      </c>
      <c r="K48" s="11" t="s">
        <v>151</v>
      </c>
      <c r="L48" s="11" t="s">
        <v>152</v>
      </c>
      <c r="M48" s="11" t="s">
        <v>153</v>
      </c>
      <c r="N48" s="11" t="s">
        <v>154</v>
      </c>
      <c r="O48" s="11" t="s">
        <v>155</v>
      </c>
      <c r="P48" s="11" t="s">
        <v>18</v>
      </c>
      <c r="Q48" s="11" t="s">
        <v>10</v>
      </c>
      <c r="R48" s="11" t="s">
        <v>551</v>
      </c>
      <c r="S48" s="11" t="s">
        <v>552</v>
      </c>
      <c r="T48" s="11" t="s">
        <v>553</v>
      </c>
      <c r="U48" s="11" t="s">
        <v>554</v>
      </c>
      <c r="V48" s="11" t="s">
        <v>555</v>
      </c>
      <c r="W48" s="11" t="s">
        <v>556</v>
      </c>
      <c r="X48" s="11" t="s">
        <v>557</v>
      </c>
      <c r="Y48" s="11" t="s">
        <v>558</v>
      </c>
      <c r="Z48" s="11" t="s">
        <v>559</v>
      </c>
      <c r="AA48" s="11" t="s">
        <v>560</v>
      </c>
      <c r="AB48" s="11" t="s">
        <v>561</v>
      </c>
      <c r="AC48" s="11" t="s">
        <v>562</v>
      </c>
      <c r="AD48" s="11" t="s">
        <v>563</v>
      </c>
      <c r="AE48" s="11" t="s">
        <v>564</v>
      </c>
      <c r="AF48" s="11" t="s">
        <v>565</v>
      </c>
      <c r="AG48" s="11" t="s">
        <v>566</v>
      </c>
      <c r="AH48" s="11" t="s">
        <v>567</v>
      </c>
      <c r="AI48" s="11" t="s">
        <v>568</v>
      </c>
      <c r="AJ48" s="11" t="s">
        <v>569</v>
      </c>
      <c r="AK48" s="11" t="s">
        <v>570</v>
      </c>
      <c r="AL48" s="11" t="s">
        <v>571</v>
      </c>
      <c r="AM48" s="11" t="s">
        <v>572</v>
      </c>
      <c r="AN48" s="11" t="s">
        <v>573</v>
      </c>
      <c r="AO48" s="11" t="s">
        <v>574</v>
      </c>
      <c r="AP48" s="11" t="s">
        <v>575</v>
      </c>
      <c r="AQ48" s="11" t="s">
        <v>576</v>
      </c>
      <c r="AR48" s="11" t="s">
        <v>577</v>
      </c>
      <c r="AS48" s="11" t="s">
        <v>578</v>
      </c>
      <c r="AT48" s="11" t="s">
        <v>579</v>
      </c>
      <c r="AU48" s="11" t="s">
        <v>580</v>
      </c>
      <c r="AV48" s="11" t="s">
        <v>581</v>
      </c>
      <c r="AW48" s="11" t="s">
        <v>582</v>
      </c>
      <c r="AX48" s="11" t="s">
        <v>583</v>
      </c>
      <c r="AY48" s="11" t="s">
        <v>584</v>
      </c>
      <c r="AZ48" s="11" t="s">
        <v>585</v>
      </c>
      <c r="BA48" s="11" t="s">
        <v>586</v>
      </c>
      <c r="BB48" s="11" t="s">
        <v>587</v>
      </c>
      <c r="BC48" s="11" t="s">
        <v>588</v>
      </c>
      <c r="BD48" s="11" t="s">
        <v>589</v>
      </c>
      <c r="BE48" s="11" t="s">
        <v>590</v>
      </c>
      <c r="BF48" s="11" t="s">
        <v>443</v>
      </c>
      <c r="BG48" s="11" t="s">
        <v>444</v>
      </c>
      <c r="BH48" s="11" t="s">
        <v>445</v>
      </c>
      <c r="BI48" s="11" t="s">
        <v>446</v>
      </c>
      <c r="BJ48" s="11" t="s">
        <v>447</v>
      </c>
      <c r="BK48" s="11" t="s">
        <v>448</v>
      </c>
      <c r="BL48" s="11" t="s">
        <v>449</v>
      </c>
      <c r="BM48" s="11" t="s">
        <v>450</v>
      </c>
      <c r="BN48" s="11" t="s">
        <v>207</v>
      </c>
      <c r="BO48" s="11" t="s">
        <v>208</v>
      </c>
      <c r="BP48" s="11" t="s">
        <v>209</v>
      </c>
      <c r="BQ48" s="11" t="s">
        <v>210</v>
      </c>
      <c r="BR48" s="11" t="s">
        <v>211</v>
      </c>
      <c r="BS48" s="11" t="s">
        <v>212</v>
      </c>
      <c r="BT48" s="11" t="s">
        <v>213</v>
      </c>
      <c r="BU48" s="11" t="s">
        <v>214</v>
      </c>
      <c r="BV48" s="11" t="s">
        <v>141</v>
      </c>
      <c r="BW48" s="11" t="s">
        <v>142</v>
      </c>
      <c r="BX48" s="11" t="s">
        <v>11</v>
      </c>
      <c r="BY48" s="9"/>
      <c r="BZ48" s="9"/>
      <c r="CA48" s="9"/>
      <c r="CB48" s="9"/>
      <c r="CC48" s="9"/>
      <c r="CD48" s="9"/>
      <c r="CE48" s="9"/>
      <c r="CF48" s="9"/>
      <c r="CG48" s="9"/>
      <c r="CH48" s="9"/>
    </row>
    <row r="49" spans="1:86" x14ac:dyDescent="0.2">
      <c r="A49" s="35"/>
      <c r="B49" s="11" t="s">
        <v>143</v>
      </c>
      <c r="C49" s="11" t="s">
        <v>6</v>
      </c>
      <c r="D49" s="11" t="s">
        <v>144</v>
      </c>
      <c r="E49" s="11" t="s">
        <v>145</v>
      </c>
      <c r="F49" s="11" t="s">
        <v>146</v>
      </c>
      <c r="G49" s="11" t="s">
        <v>147</v>
      </c>
      <c r="H49" s="11" t="s">
        <v>148</v>
      </c>
      <c r="I49" s="11" t="s">
        <v>149</v>
      </c>
      <c r="J49" s="11" t="s">
        <v>150</v>
      </c>
      <c r="K49" s="11" t="s">
        <v>151</v>
      </c>
      <c r="L49" s="11" t="s">
        <v>152</v>
      </c>
      <c r="M49" s="11" t="s">
        <v>153</v>
      </c>
      <c r="N49" s="11" t="s">
        <v>154</v>
      </c>
      <c r="O49" s="11" t="s">
        <v>155</v>
      </c>
      <c r="P49" s="11" t="s">
        <v>18</v>
      </c>
      <c r="Q49" s="11" t="s">
        <v>10</v>
      </c>
      <c r="R49" s="11">
        <v>0</v>
      </c>
      <c r="S49" s="11">
        <v>0</v>
      </c>
      <c r="T49" s="11" t="s">
        <v>141</v>
      </c>
      <c r="U49" s="11" t="s">
        <v>142</v>
      </c>
      <c r="V49" s="11" t="s">
        <v>11</v>
      </c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</row>
    <row r="50" spans="1:86" x14ac:dyDescent="0.2">
      <c r="A50" s="31" t="s">
        <v>591</v>
      </c>
      <c r="B50" s="15" t="s">
        <v>140</v>
      </c>
      <c r="C50" s="15" t="s">
        <v>6</v>
      </c>
      <c r="D50" s="15" t="s">
        <v>144</v>
      </c>
      <c r="E50" s="15" t="s">
        <v>145</v>
      </c>
      <c r="F50" s="15" t="s">
        <v>146</v>
      </c>
      <c r="G50" s="15" t="s">
        <v>147</v>
      </c>
      <c r="H50" s="15" t="s">
        <v>148</v>
      </c>
      <c r="I50" s="15" t="s">
        <v>149</v>
      </c>
      <c r="J50" s="15" t="s">
        <v>150</v>
      </c>
      <c r="K50" s="15" t="s">
        <v>151</v>
      </c>
      <c r="L50" s="15" t="s">
        <v>152</v>
      </c>
      <c r="M50" s="15" t="s">
        <v>153</v>
      </c>
      <c r="N50" s="15" t="s">
        <v>154</v>
      </c>
      <c r="O50" s="15" t="s">
        <v>155</v>
      </c>
      <c r="P50" s="15" t="s">
        <v>216</v>
      </c>
      <c r="Q50" s="15" t="s">
        <v>8</v>
      </c>
      <c r="R50" s="15" t="s">
        <v>141</v>
      </c>
      <c r="S50" s="15" t="s">
        <v>142</v>
      </c>
      <c r="T50" s="15" t="s">
        <v>11</v>
      </c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</row>
    <row r="51" spans="1:86" x14ac:dyDescent="0.2">
      <c r="A51" s="32"/>
      <c r="B51" s="15" t="s">
        <v>143</v>
      </c>
      <c r="C51" s="15" t="s">
        <v>6</v>
      </c>
      <c r="D51" s="15" t="s">
        <v>144</v>
      </c>
      <c r="E51" s="15" t="s">
        <v>145</v>
      </c>
      <c r="F51" s="15" t="s">
        <v>146</v>
      </c>
      <c r="G51" s="15" t="s">
        <v>147</v>
      </c>
      <c r="H51" s="15" t="s">
        <v>148</v>
      </c>
      <c r="I51" s="15" t="s">
        <v>149</v>
      </c>
      <c r="J51" s="15" t="s">
        <v>150</v>
      </c>
      <c r="K51" s="15" t="s">
        <v>151</v>
      </c>
      <c r="L51" s="15" t="s">
        <v>152</v>
      </c>
      <c r="M51" s="15" t="s">
        <v>153</v>
      </c>
      <c r="N51" s="15" t="s">
        <v>154</v>
      </c>
      <c r="O51" s="15" t="s">
        <v>155</v>
      </c>
      <c r="P51" s="15" t="s">
        <v>216</v>
      </c>
      <c r="Q51" s="15" t="s">
        <v>8</v>
      </c>
      <c r="R51" s="15" t="s">
        <v>502</v>
      </c>
      <c r="S51" s="15" t="s">
        <v>503</v>
      </c>
      <c r="T51" s="15" t="s">
        <v>504</v>
      </c>
      <c r="U51" s="15" t="s">
        <v>505</v>
      </c>
      <c r="V51" s="15" t="s">
        <v>506</v>
      </c>
      <c r="W51" s="15" t="s">
        <v>507</v>
      </c>
      <c r="X51" s="15" t="s">
        <v>508</v>
      </c>
      <c r="Y51" s="15" t="s">
        <v>509</v>
      </c>
      <c r="Z51" s="15" t="s">
        <v>510</v>
      </c>
      <c r="AA51" s="15" t="s">
        <v>511</v>
      </c>
      <c r="AB51" s="15" t="s">
        <v>512</v>
      </c>
      <c r="AC51" s="15" t="s">
        <v>513</v>
      </c>
      <c r="AD51" s="15" t="s">
        <v>514</v>
      </c>
      <c r="AE51" s="15" t="s">
        <v>515</v>
      </c>
      <c r="AF51" s="15" t="s">
        <v>516</v>
      </c>
      <c r="AG51" s="15" t="s">
        <v>517</v>
      </c>
      <c r="AH51" s="15" t="s">
        <v>518</v>
      </c>
      <c r="AI51" s="15" t="s">
        <v>519</v>
      </c>
      <c r="AJ51" s="15" t="s">
        <v>520</v>
      </c>
      <c r="AK51" s="15" t="s">
        <v>521</v>
      </c>
      <c r="AL51" s="15" t="s">
        <v>522</v>
      </c>
      <c r="AM51" s="15" t="s">
        <v>523</v>
      </c>
      <c r="AN51" s="15" t="s">
        <v>524</v>
      </c>
      <c r="AO51" s="15" t="s">
        <v>525</v>
      </c>
      <c r="AP51" s="15" t="s">
        <v>526</v>
      </c>
      <c r="AQ51" s="15" t="s">
        <v>527</v>
      </c>
      <c r="AR51" s="15" t="s">
        <v>528</v>
      </c>
      <c r="AS51" s="15" t="s">
        <v>529</v>
      </c>
      <c r="AT51" s="15" t="s">
        <v>530</v>
      </c>
      <c r="AU51" s="15" t="s">
        <v>531</v>
      </c>
      <c r="AV51" s="15" t="s">
        <v>532</v>
      </c>
      <c r="AW51" s="15" t="s">
        <v>533</v>
      </c>
      <c r="AX51" s="15" t="s">
        <v>534</v>
      </c>
      <c r="AY51" s="15" t="s">
        <v>535</v>
      </c>
      <c r="AZ51" s="15" t="s">
        <v>536</v>
      </c>
      <c r="BA51" s="15" t="s">
        <v>537</v>
      </c>
      <c r="BB51" s="15" t="s">
        <v>538</v>
      </c>
      <c r="BC51" s="15" t="s">
        <v>539</v>
      </c>
      <c r="BD51" s="15" t="s">
        <v>540</v>
      </c>
      <c r="BE51" s="15" t="s">
        <v>541</v>
      </c>
      <c r="BF51" s="15" t="s">
        <v>542</v>
      </c>
      <c r="BG51" s="15" t="s">
        <v>543</v>
      </c>
      <c r="BH51" s="15" t="s">
        <v>544</v>
      </c>
      <c r="BI51" s="15" t="s">
        <v>545</v>
      </c>
      <c r="BJ51" s="15" t="s">
        <v>546</v>
      </c>
      <c r="BK51" s="15" t="s">
        <v>547</v>
      </c>
      <c r="BL51" s="15" t="s">
        <v>548</v>
      </c>
      <c r="BM51" s="15" t="s">
        <v>549</v>
      </c>
      <c r="BN51" s="15" t="s">
        <v>207</v>
      </c>
      <c r="BO51" s="15" t="s">
        <v>208</v>
      </c>
      <c r="BP51" s="15" t="s">
        <v>209</v>
      </c>
      <c r="BQ51" s="15" t="s">
        <v>210</v>
      </c>
      <c r="BR51" s="15" t="s">
        <v>211</v>
      </c>
      <c r="BS51" s="15" t="s">
        <v>212</v>
      </c>
      <c r="BT51" s="15" t="s">
        <v>213</v>
      </c>
      <c r="BU51" s="15" t="s">
        <v>214</v>
      </c>
      <c r="BV51" s="15" t="s">
        <v>141</v>
      </c>
      <c r="BW51" s="15" t="s">
        <v>142</v>
      </c>
      <c r="BX51" s="15" t="s">
        <v>11</v>
      </c>
      <c r="BY51" s="9"/>
      <c r="BZ51" s="9"/>
      <c r="CA51" s="9"/>
      <c r="CB51" s="9"/>
      <c r="CC51" s="9"/>
      <c r="CD51" s="9"/>
      <c r="CE51" s="9"/>
      <c r="CF51" s="9"/>
      <c r="CG51" s="9"/>
      <c r="CH51" s="9"/>
    </row>
    <row r="52" spans="1:86" x14ac:dyDescent="0.2">
      <c r="A52" s="34" t="s">
        <v>592</v>
      </c>
      <c r="B52" s="11" t="s">
        <v>140</v>
      </c>
      <c r="C52" s="11" t="s">
        <v>6</v>
      </c>
      <c r="D52" s="11" t="s">
        <v>144</v>
      </c>
      <c r="E52" s="11" t="s">
        <v>145</v>
      </c>
      <c r="F52" s="11" t="s">
        <v>146</v>
      </c>
      <c r="G52" s="11" t="s">
        <v>147</v>
      </c>
      <c r="H52" s="11" t="s">
        <v>148</v>
      </c>
      <c r="I52" s="11" t="s">
        <v>149</v>
      </c>
      <c r="J52" s="11" t="s">
        <v>150</v>
      </c>
      <c r="K52" s="11" t="s">
        <v>151</v>
      </c>
      <c r="L52" s="11" t="s">
        <v>152</v>
      </c>
      <c r="M52" s="11" t="s">
        <v>153</v>
      </c>
      <c r="N52" s="11" t="s">
        <v>154</v>
      </c>
      <c r="O52" s="11" t="s">
        <v>155</v>
      </c>
      <c r="P52" s="11" t="s">
        <v>216</v>
      </c>
      <c r="Q52" s="11" t="s">
        <v>10</v>
      </c>
      <c r="R52" s="11" t="s">
        <v>551</v>
      </c>
      <c r="S52" s="11" t="s">
        <v>552</v>
      </c>
      <c r="T52" s="11" t="s">
        <v>553</v>
      </c>
      <c r="U52" s="11" t="s">
        <v>554</v>
      </c>
      <c r="V52" s="11" t="s">
        <v>555</v>
      </c>
      <c r="W52" s="11" t="s">
        <v>556</v>
      </c>
      <c r="X52" s="11" t="s">
        <v>557</v>
      </c>
      <c r="Y52" s="11" t="s">
        <v>558</v>
      </c>
      <c r="Z52" s="11" t="s">
        <v>559</v>
      </c>
      <c r="AA52" s="11" t="s">
        <v>560</v>
      </c>
      <c r="AB52" s="11" t="s">
        <v>561</v>
      </c>
      <c r="AC52" s="11" t="s">
        <v>562</v>
      </c>
      <c r="AD52" s="11" t="s">
        <v>563</v>
      </c>
      <c r="AE52" s="11" t="s">
        <v>564</v>
      </c>
      <c r="AF52" s="11" t="s">
        <v>565</v>
      </c>
      <c r="AG52" s="11" t="s">
        <v>566</v>
      </c>
      <c r="AH52" s="11" t="s">
        <v>567</v>
      </c>
      <c r="AI52" s="11" t="s">
        <v>568</v>
      </c>
      <c r="AJ52" s="11" t="s">
        <v>569</v>
      </c>
      <c r="AK52" s="11" t="s">
        <v>570</v>
      </c>
      <c r="AL52" s="11" t="s">
        <v>571</v>
      </c>
      <c r="AM52" s="11" t="s">
        <v>572</v>
      </c>
      <c r="AN52" s="11" t="s">
        <v>573</v>
      </c>
      <c r="AO52" s="11" t="s">
        <v>574</v>
      </c>
      <c r="AP52" s="11" t="s">
        <v>575</v>
      </c>
      <c r="AQ52" s="11" t="s">
        <v>576</v>
      </c>
      <c r="AR52" s="11" t="s">
        <v>577</v>
      </c>
      <c r="AS52" s="11" t="s">
        <v>578</v>
      </c>
      <c r="AT52" s="11" t="s">
        <v>579</v>
      </c>
      <c r="AU52" s="11" t="s">
        <v>580</v>
      </c>
      <c r="AV52" s="11" t="s">
        <v>581</v>
      </c>
      <c r="AW52" s="11" t="s">
        <v>582</v>
      </c>
      <c r="AX52" s="11" t="s">
        <v>583</v>
      </c>
      <c r="AY52" s="11" t="s">
        <v>584</v>
      </c>
      <c r="AZ52" s="11" t="s">
        <v>585</v>
      </c>
      <c r="BA52" s="11" t="s">
        <v>586</v>
      </c>
      <c r="BB52" s="11" t="s">
        <v>587</v>
      </c>
      <c r="BC52" s="11" t="s">
        <v>588</v>
      </c>
      <c r="BD52" s="11" t="s">
        <v>589</v>
      </c>
      <c r="BE52" s="11" t="s">
        <v>590</v>
      </c>
      <c r="BF52" s="11" t="s">
        <v>443</v>
      </c>
      <c r="BG52" s="11" t="s">
        <v>444</v>
      </c>
      <c r="BH52" s="11" t="s">
        <v>445</v>
      </c>
      <c r="BI52" s="11" t="s">
        <v>446</v>
      </c>
      <c r="BJ52" s="11" t="s">
        <v>447</v>
      </c>
      <c r="BK52" s="11" t="s">
        <v>448</v>
      </c>
      <c r="BL52" s="11" t="s">
        <v>449</v>
      </c>
      <c r="BM52" s="11" t="s">
        <v>450</v>
      </c>
      <c r="BN52" s="11" t="s">
        <v>207</v>
      </c>
      <c r="BO52" s="11" t="s">
        <v>208</v>
      </c>
      <c r="BP52" s="11" t="s">
        <v>209</v>
      </c>
      <c r="BQ52" s="11" t="s">
        <v>210</v>
      </c>
      <c r="BR52" s="11" t="s">
        <v>211</v>
      </c>
      <c r="BS52" s="11" t="s">
        <v>212</v>
      </c>
      <c r="BT52" s="11" t="s">
        <v>213</v>
      </c>
      <c r="BU52" s="11" t="s">
        <v>214</v>
      </c>
      <c r="BV52" s="11" t="s">
        <v>141</v>
      </c>
      <c r="BW52" s="11" t="s">
        <v>142</v>
      </c>
      <c r="BX52" s="11" t="s">
        <v>11</v>
      </c>
      <c r="BY52" s="9"/>
      <c r="BZ52" s="9"/>
      <c r="CA52" s="9"/>
      <c r="CB52" s="9"/>
      <c r="CC52" s="9"/>
      <c r="CD52" s="9"/>
      <c r="CE52" s="9"/>
      <c r="CF52" s="9"/>
      <c r="CG52" s="9"/>
      <c r="CH52" s="9"/>
    </row>
    <row r="53" spans="1:86" x14ac:dyDescent="0.2">
      <c r="A53" s="35"/>
      <c r="B53" s="11" t="s">
        <v>143</v>
      </c>
      <c r="C53" s="11" t="s">
        <v>6</v>
      </c>
      <c r="D53" s="11" t="s">
        <v>144</v>
      </c>
      <c r="E53" s="11" t="s">
        <v>145</v>
      </c>
      <c r="F53" s="11" t="s">
        <v>146</v>
      </c>
      <c r="G53" s="11" t="s">
        <v>147</v>
      </c>
      <c r="H53" s="11" t="s">
        <v>148</v>
      </c>
      <c r="I53" s="11" t="s">
        <v>149</v>
      </c>
      <c r="J53" s="11" t="s">
        <v>150</v>
      </c>
      <c r="K53" s="11" t="s">
        <v>151</v>
      </c>
      <c r="L53" s="11" t="s">
        <v>152</v>
      </c>
      <c r="M53" s="11" t="s">
        <v>153</v>
      </c>
      <c r="N53" s="11" t="s">
        <v>154</v>
      </c>
      <c r="O53" s="11" t="s">
        <v>155</v>
      </c>
      <c r="P53" s="11" t="s">
        <v>216</v>
      </c>
      <c r="Q53" s="11" t="s">
        <v>10</v>
      </c>
      <c r="R53" s="11" t="s">
        <v>141</v>
      </c>
      <c r="S53" s="11" t="s">
        <v>142</v>
      </c>
      <c r="T53" s="11" t="s">
        <v>11</v>
      </c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</row>
    <row r="54" spans="1:86" x14ac:dyDescent="0.2">
      <c r="A54" s="31" t="s">
        <v>593</v>
      </c>
      <c r="B54" s="15" t="s">
        <v>140</v>
      </c>
      <c r="C54" s="15" t="s">
        <v>6</v>
      </c>
      <c r="D54" s="15" t="s">
        <v>144</v>
      </c>
      <c r="E54" s="15" t="s">
        <v>145</v>
      </c>
      <c r="F54" s="15" t="s">
        <v>146</v>
      </c>
      <c r="G54" s="15" t="s">
        <v>147</v>
      </c>
      <c r="H54" s="15" t="s">
        <v>148</v>
      </c>
      <c r="I54" s="15" t="s">
        <v>149</v>
      </c>
      <c r="J54" s="15" t="s">
        <v>150</v>
      </c>
      <c r="K54" s="15" t="s">
        <v>151</v>
      </c>
      <c r="L54" s="15" t="s">
        <v>152</v>
      </c>
      <c r="M54" s="15" t="s">
        <v>153</v>
      </c>
      <c r="N54" s="15" t="s">
        <v>154</v>
      </c>
      <c r="O54" s="15" t="s">
        <v>155</v>
      </c>
      <c r="P54" s="15" t="s">
        <v>18</v>
      </c>
      <c r="Q54" s="15" t="s">
        <v>385</v>
      </c>
      <c r="R54" s="15" t="s">
        <v>141</v>
      </c>
      <c r="S54" s="15" t="s">
        <v>142</v>
      </c>
      <c r="T54" s="15" t="s">
        <v>11</v>
      </c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</row>
    <row r="55" spans="1:86" x14ac:dyDescent="0.2">
      <c r="A55" s="32"/>
      <c r="B55" s="15" t="s">
        <v>143</v>
      </c>
      <c r="C55" s="15" t="s">
        <v>6</v>
      </c>
      <c r="D55" s="15" t="s">
        <v>144</v>
      </c>
      <c r="E55" s="15" t="s">
        <v>145</v>
      </c>
      <c r="F55" s="15" t="s">
        <v>146</v>
      </c>
      <c r="G55" s="15" t="s">
        <v>147</v>
      </c>
      <c r="H55" s="15" t="s">
        <v>148</v>
      </c>
      <c r="I55" s="15" t="s">
        <v>149</v>
      </c>
      <c r="J55" s="15" t="s">
        <v>150</v>
      </c>
      <c r="K55" s="15" t="s">
        <v>151</v>
      </c>
      <c r="L55" s="15" t="s">
        <v>152</v>
      </c>
      <c r="M55" s="15" t="s">
        <v>153</v>
      </c>
      <c r="N55" s="15" t="s">
        <v>154</v>
      </c>
      <c r="O55" s="15" t="s">
        <v>155</v>
      </c>
      <c r="P55" s="15" t="s">
        <v>18</v>
      </c>
      <c r="Q55" s="15" t="s">
        <v>385</v>
      </c>
      <c r="R55" s="15" t="s">
        <v>594</v>
      </c>
      <c r="S55" s="15" t="s">
        <v>595</v>
      </c>
      <c r="T55" s="15" t="s">
        <v>596</v>
      </c>
      <c r="U55" s="15" t="s">
        <v>597</v>
      </c>
      <c r="V55" s="15" t="s">
        <v>598</v>
      </c>
      <c r="W55" s="15" t="s">
        <v>599</v>
      </c>
      <c r="X55" s="15" t="s">
        <v>600</v>
      </c>
      <c r="Y55" s="15" t="s">
        <v>601</v>
      </c>
      <c r="Z55" s="15" t="s">
        <v>141</v>
      </c>
      <c r="AA55" s="15" t="s">
        <v>142</v>
      </c>
      <c r="AB55" s="15" t="s">
        <v>11</v>
      </c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</row>
    <row r="56" spans="1:86" x14ac:dyDescent="0.2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</row>
    <row r="57" spans="1:86" x14ac:dyDescent="0.2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</row>
    <row r="58" spans="1:86" x14ac:dyDescent="0.2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</row>
    <row r="59" spans="1:86" x14ac:dyDescent="0.2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</row>
    <row r="60" spans="1:86" x14ac:dyDescent="0.2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</row>
    <row r="61" spans="1:86" x14ac:dyDescent="0.2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</row>
    <row r="62" spans="1:86" x14ac:dyDescent="0.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</row>
    <row r="63" spans="1:86" x14ac:dyDescent="0.2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</row>
    <row r="64" spans="1:86" x14ac:dyDescent="0.2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</row>
    <row r="65" spans="1:86" x14ac:dyDescent="0.2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</row>
    <row r="66" spans="1:86" x14ac:dyDescent="0.2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</row>
    <row r="67" spans="1:86" x14ac:dyDescent="0.2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</row>
    <row r="68" spans="1:86" x14ac:dyDescent="0.2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</row>
  </sheetData>
  <mergeCells count="29">
    <mergeCell ref="A46:A47"/>
    <mergeCell ref="A48:A49"/>
    <mergeCell ref="A50:A51"/>
    <mergeCell ref="A52:A53"/>
    <mergeCell ref="A54:A55"/>
    <mergeCell ref="A44:A45"/>
    <mergeCell ref="C22:T22"/>
    <mergeCell ref="A24:A25"/>
    <mergeCell ref="A26:A27"/>
    <mergeCell ref="A28:A29"/>
    <mergeCell ref="A30:A31"/>
    <mergeCell ref="A32:A33"/>
    <mergeCell ref="A22:A23"/>
    <mergeCell ref="A34:A35"/>
    <mergeCell ref="A36:A37"/>
    <mergeCell ref="A38:A39"/>
    <mergeCell ref="A40:A41"/>
    <mergeCell ref="A42:A43"/>
    <mergeCell ref="A12:A13"/>
    <mergeCell ref="A14:A15"/>
    <mergeCell ref="A16:A17"/>
    <mergeCell ref="A18:A19"/>
    <mergeCell ref="A20:A21"/>
    <mergeCell ref="A10:A11"/>
    <mergeCell ref="C2:O2"/>
    <mergeCell ref="P2:Q2"/>
    <mergeCell ref="A4:A5"/>
    <mergeCell ref="A6:A7"/>
    <mergeCell ref="A8:A9"/>
  </mergeCells>
  <pageMargins left="0.51181102362204722" right="0.51181102362204722" top="0.78740157480314965" bottom="0.78740157480314965" header="0.31496062992125984" footer="0.31496062992125984"/>
  <pageSetup scale="47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E5B3E-1A0C-4D92-8706-5D066004A6B2}">
  <dimension ref="A1:U68"/>
  <sheetViews>
    <sheetView tabSelected="1" topLeftCell="A7" zoomScale="85" zoomScaleNormal="85" workbookViewId="0">
      <selection activeCell="N26" sqref="N26:N27"/>
    </sheetView>
  </sheetViews>
  <sheetFormatPr defaultRowHeight="26.25" x14ac:dyDescent="0.4"/>
  <cols>
    <col min="1" max="1" width="34.42578125" style="7" bestFit="1" customWidth="1"/>
    <col min="2" max="2" width="3.140625" customWidth="1"/>
    <col min="3" max="4" width="6" style="7" bestFit="1" customWidth="1"/>
    <col min="5" max="5" width="13.28515625" style="25" customWidth="1"/>
    <col min="6" max="6" width="9.140625" style="25"/>
    <col min="14" max="14" width="27" bestFit="1" customWidth="1"/>
    <col min="15" max="15" width="3.7109375" customWidth="1"/>
    <col min="16" max="16" width="1.42578125" bestFit="1" customWidth="1"/>
    <col min="17" max="17" width="2" bestFit="1" customWidth="1"/>
    <col min="21" max="21" width="41" style="39" customWidth="1"/>
  </cols>
  <sheetData>
    <row r="1" spans="1:21" ht="18" customHeight="1" x14ac:dyDescent="0.4">
      <c r="C1" s="7">
        <v>0</v>
      </c>
      <c r="D1" s="7">
        <v>1</v>
      </c>
    </row>
    <row r="2" spans="1:21" ht="12.75" customHeight="1" x14ac:dyDescent="0.4">
      <c r="C2" s="33" t="s">
        <v>2</v>
      </c>
      <c r="D2" s="33"/>
    </row>
    <row r="3" spans="1:21" x14ac:dyDescent="0.4">
      <c r="A3" s="9" t="s">
        <v>27</v>
      </c>
      <c r="C3" s="9" t="s">
        <v>41</v>
      </c>
      <c r="D3" s="9" t="s">
        <v>42</v>
      </c>
    </row>
    <row r="4" spans="1:21" x14ac:dyDescent="0.4">
      <c r="A4" s="34" t="s">
        <v>139</v>
      </c>
      <c r="C4" s="11" t="s">
        <v>13</v>
      </c>
      <c r="D4" s="11" t="s">
        <v>9</v>
      </c>
      <c r="E4" s="25" t="str">
        <f>CONCATENATE(C4,D4)</f>
        <v>ID</v>
      </c>
      <c r="F4" s="25" t="s">
        <v>602</v>
      </c>
      <c r="N4" s="34" t="s">
        <v>139</v>
      </c>
      <c r="P4" s="11" t="s">
        <v>13</v>
      </c>
      <c r="Q4" s="11" t="s">
        <v>9</v>
      </c>
      <c r="R4" s="25" t="str">
        <f>CONCATENATE(P4,Q4)</f>
        <v>ID</v>
      </c>
      <c r="S4" s="25" t="s">
        <v>602</v>
      </c>
      <c r="T4" s="25" t="s">
        <v>662</v>
      </c>
      <c r="U4" s="39" t="s">
        <v>12</v>
      </c>
    </row>
    <row r="5" spans="1:21" x14ac:dyDescent="0.4">
      <c r="A5" s="35"/>
      <c r="C5" s="11" t="s">
        <v>13</v>
      </c>
      <c r="D5" s="11" t="s">
        <v>9</v>
      </c>
      <c r="E5" s="25" t="str">
        <f t="shared" ref="E5:E55" si="0">CONCATENATE(C5,D5)</f>
        <v>ID</v>
      </c>
      <c r="N5" s="35"/>
      <c r="P5" s="11" t="s">
        <v>13</v>
      </c>
      <c r="Q5" s="11" t="s">
        <v>9</v>
      </c>
      <c r="R5" s="25" t="str">
        <f t="shared" ref="R5:R27" si="1">CONCATENATE(P5,Q5)</f>
        <v>ID</v>
      </c>
      <c r="S5" s="25"/>
      <c r="T5" s="25" t="s">
        <v>663</v>
      </c>
      <c r="U5" s="39" t="s">
        <v>14</v>
      </c>
    </row>
    <row r="6" spans="1:21" x14ac:dyDescent="0.4">
      <c r="A6" s="31" t="s">
        <v>156</v>
      </c>
      <c r="C6" s="15" t="s">
        <v>20</v>
      </c>
      <c r="D6" s="15" t="s">
        <v>157</v>
      </c>
      <c r="E6" s="25" t="str">
        <f t="shared" si="0"/>
        <v>TQ</v>
      </c>
      <c r="F6" s="25" t="s">
        <v>612</v>
      </c>
      <c r="N6" s="34" t="s">
        <v>217</v>
      </c>
      <c r="P6" s="11" t="s">
        <v>9</v>
      </c>
      <c r="Q6" s="11" t="s">
        <v>13</v>
      </c>
      <c r="R6" s="25" t="str">
        <f t="shared" si="1"/>
        <v>DI</v>
      </c>
      <c r="S6" s="25" t="s">
        <v>603</v>
      </c>
      <c r="T6" s="25" t="s">
        <v>662</v>
      </c>
      <c r="U6" s="39" t="s">
        <v>16</v>
      </c>
    </row>
    <row r="7" spans="1:21" x14ac:dyDescent="0.4">
      <c r="A7" s="32"/>
      <c r="C7" s="15" t="s">
        <v>20</v>
      </c>
      <c r="D7" s="15" t="s">
        <v>157</v>
      </c>
      <c r="E7" s="25" t="str">
        <f t="shared" si="0"/>
        <v>TQ</v>
      </c>
      <c r="N7" s="35"/>
      <c r="P7" s="11" t="s">
        <v>9</v>
      </c>
      <c r="Q7" s="11" t="s">
        <v>13</v>
      </c>
      <c r="R7" s="25" t="str">
        <f t="shared" si="1"/>
        <v>DI</v>
      </c>
      <c r="S7" s="25"/>
      <c r="T7" s="25" t="s">
        <v>663</v>
      </c>
      <c r="U7" s="39" t="s">
        <v>664</v>
      </c>
    </row>
    <row r="8" spans="1:21" x14ac:dyDescent="0.4">
      <c r="A8" s="34" t="s">
        <v>182</v>
      </c>
      <c r="C8" s="11" t="s">
        <v>18</v>
      </c>
      <c r="D8" s="11" t="s">
        <v>7</v>
      </c>
      <c r="E8" s="25" t="str">
        <f t="shared" si="0"/>
        <v>SA</v>
      </c>
      <c r="F8" s="25" t="s">
        <v>608</v>
      </c>
      <c r="N8" s="34" t="s">
        <v>418</v>
      </c>
      <c r="P8" s="11" t="s">
        <v>19</v>
      </c>
      <c r="Q8" s="11" t="s">
        <v>10</v>
      </c>
      <c r="R8" s="25" t="str">
        <f t="shared" si="1"/>
        <v>RC</v>
      </c>
      <c r="S8" s="25" t="s">
        <v>604</v>
      </c>
      <c r="T8" s="25" t="s">
        <v>662</v>
      </c>
      <c r="U8" s="39" t="s">
        <v>683</v>
      </c>
    </row>
    <row r="9" spans="1:21" x14ac:dyDescent="0.4">
      <c r="A9" s="35"/>
      <c r="C9" s="11" t="s">
        <v>18</v>
      </c>
      <c r="D9" s="11" t="s">
        <v>7</v>
      </c>
      <c r="E9" s="25" t="str">
        <f t="shared" si="0"/>
        <v>SA</v>
      </c>
      <c r="N9" s="35"/>
      <c r="P9" s="11" t="s">
        <v>19</v>
      </c>
      <c r="Q9" s="11" t="s">
        <v>10</v>
      </c>
      <c r="R9" s="25" t="str">
        <f t="shared" si="1"/>
        <v>RC</v>
      </c>
      <c r="S9" s="25"/>
      <c r="T9" s="25" t="s">
        <v>663</v>
      </c>
      <c r="U9" s="39" t="s">
        <v>684</v>
      </c>
    </row>
    <row r="10" spans="1:21" x14ac:dyDescent="0.4">
      <c r="A10" s="31" t="s">
        <v>215</v>
      </c>
      <c r="C10" s="15" t="s">
        <v>216</v>
      </c>
      <c r="D10" s="15" t="s">
        <v>7</v>
      </c>
      <c r="E10" s="25" t="str">
        <f t="shared" si="0"/>
        <v>GA</v>
      </c>
      <c r="N10" s="31" t="s">
        <v>294</v>
      </c>
      <c r="P10" s="15" t="s">
        <v>9</v>
      </c>
      <c r="Q10" s="15" t="s">
        <v>18</v>
      </c>
      <c r="R10" s="25" t="str">
        <f t="shared" si="1"/>
        <v>DS</v>
      </c>
      <c r="S10" s="25" t="s">
        <v>605</v>
      </c>
      <c r="T10" s="25" t="s">
        <v>662</v>
      </c>
      <c r="U10" s="39" t="s">
        <v>665</v>
      </c>
    </row>
    <row r="11" spans="1:21" x14ac:dyDescent="0.4">
      <c r="A11" s="32"/>
      <c r="C11" s="15" t="s">
        <v>216</v>
      </c>
      <c r="D11" s="15" t="s">
        <v>7</v>
      </c>
      <c r="E11" s="25" t="str">
        <f t="shared" si="0"/>
        <v>GA</v>
      </c>
      <c r="N11" s="32"/>
      <c r="P11" s="15" t="s">
        <v>9</v>
      </c>
      <c r="Q11" s="15" t="s">
        <v>18</v>
      </c>
      <c r="R11" s="25" t="str">
        <f t="shared" si="1"/>
        <v>DS</v>
      </c>
      <c r="S11" s="25"/>
      <c r="T11" s="25" t="s">
        <v>663</v>
      </c>
      <c r="U11" s="39" t="s">
        <v>666</v>
      </c>
    </row>
    <row r="12" spans="1:21" x14ac:dyDescent="0.4">
      <c r="A12" s="34" t="s">
        <v>217</v>
      </c>
      <c r="C12" s="11" t="s">
        <v>9</v>
      </c>
      <c r="D12" s="11" t="s">
        <v>13</v>
      </c>
      <c r="E12" s="25" t="str">
        <f t="shared" si="0"/>
        <v>DI</v>
      </c>
      <c r="F12" s="25" t="s">
        <v>603</v>
      </c>
      <c r="N12" s="34" t="s">
        <v>383</v>
      </c>
      <c r="P12" s="11" t="s">
        <v>384</v>
      </c>
      <c r="Q12" s="11" t="s">
        <v>385</v>
      </c>
      <c r="R12" s="25" t="str">
        <f t="shared" si="1"/>
        <v>ZO</v>
      </c>
      <c r="S12" s="25" t="s">
        <v>606</v>
      </c>
      <c r="T12" s="25" t="s">
        <v>662</v>
      </c>
      <c r="U12" s="39" t="s">
        <v>667</v>
      </c>
    </row>
    <row r="13" spans="1:21" x14ac:dyDescent="0.4">
      <c r="A13" s="35"/>
      <c r="C13" s="11" t="s">
        <v>9</v>
      </c>
      <c r="D13" s="11" t="s">
        <v>13</v>
      </c>
      <c r="E13" s="25" t="str">
        <f t="shared" si="0"/>
        <v>DI</v>
      </c>
      <c r="N13" s="35"/>
      <c r="P13" s="11" t="s">
        <v>384</v>
      </c>
      <c r="Q13" s="11" t="s">
        <v>385</v>
      </c>
      <c r="R13" s="25" t="str">
        <f t="shared" si="1"/>
        <v>ZO</v>
      </c>
      <c r="S13" s="25"/>
      <c r="T13" s="25" t="s">
        <v>663</v>
      </c>
      <c r="U13" s="39" t="s">
        <v>668</v>
      </c>
    </row>
    <row r="14" spans="1:21" x14ac:dyDescent="0.4">
      <c r="A14" s="31" t="s">
        <v>294</v>
      </c>
      <c r="C14" s="15" t="s">
        <v>9</v>
      </c>
      <c r="D14" s="15" t="s">
        <v>18</v>
      </c>
      <c r="E14" s="25" t="str">
        <f t="shared" si="0"/>
        <v>DS</v>
      </c>
      <c r="F14" s="25" t="s">
        <v>605</v>
      </c>
      <c r="G14" s="26"/>
      <c r="H14" s="26"/>
      <c r="I14" s="26"/>
      <c r="J14" t="s">
        <v>611</v>
      </c>
      <c r="N14" s="31" t="s">
        <v>493</v>
      </c>
      <c r="P14" s="15" t="s">
        <v>10</v>
      </c>
      <c r="Q14" s="15" t="s">
        <v>18</v>
      </c>
      <c r="R14" s="25" t="str">
        <f t="shared" si="1"/>
        <v>CS</v>
      </c>
      <c r="S14" s="25" t="s">
        <v>607</v>
      </c>
      <c r="T14" s="25" t="s">
        <v>662</v>
      </c>
      <c r="U14" s="39" t="s">
        <v>671</v>
      </c>
    </row>
    <row r="15" spans="1:21" x14ac:dyDescent="0.4">
      <c r="A15" s="32"/>
      <c r="C15" s="15" t="s">
        <v>9</v>
      </c>
      <c r="D15" s="15" t="s">
        <v>18</v>
      </c>
      <c r="E15" s="25" t="str">
        <f t="shared" si="0"/>
        <v>DS</v>
      </c>
      <c r="N15" s="32"/>
      <c r="P15" s="15" t="s">
        <v>10</v>
      </c>
      <c r="Q15" s="15" t="s">
        <v>18</v>
      </c>
      <c r="R15" s="25" t="str">
        <f t="shared" si="1"/>
        <v>CS</v>
      </c>
      <c r="S15" s="25"/>
      <c r="T15" s="25" t="s">
        <v>663</v>
      </c>
      <c r="U15" s="39" t="s">
        <v>672</v>
      </c>
    </row>
    <row r="16" spans="1:21" x14ac:dyDescent="0.4">
      <c r="A16" s="34" t="s">
        <v>333</v>
      </c>
      <c r="C16" s="11" t="s">
        <v>334</v>
      </c>
      <c r="D16" s="11" t="s">
        <v>18</v>
      </c>
      <c r="E16" s="25" t="str">
        <f t="shared" si="0"/>
        <v>LS</v>
      </c>
      <c r="F16" s="25" t="s">
        <v>613</v>
      </c>
      <c r="G16" s="26"/>
      <c r="H16" s="26"/>
      <c r="I16" s="26"/>
      <c r="J16" t="s">
        <v>611</v>
      </c>
      <c r="N16" s="34" t="s">
        <v>182</v>
      </c>
      <c r="P16" s="11" t="s">
        <v>18</v>
      </c>
      <c r="Q16" s="11" t="s">
        <v>7</v>
      </c>
      <c r="R16" s="25" t="str">
        <f t="shared" si="1"/>
        <v>SA</v>
      </c>
      <c r="S16" s="25" t="s">
        <v>608</v>
      </c>
      <c r="T16" s="25" t="s">
        <v>662</v>
      </c>
      <c r="U16" s="39" t="s">
        <v>669</v>
      </c>
    </row>
    <row r="17" spans="1:21" x14ac:dyDescent="0.4">
      <c r="A17" s="35"/>
      <c r="C17" s="11" t="s">
        <v>334</v>
      </c>
      <c r="D17" s="11" t="s">
        <v>18</v>
      </c>
      <c r="E17" s="25" t="str">
        <f t="shared" si="0"/>
        <v>LS</v>
      </c>
      <c r="N17" s="35"/>
      <c r="P17" s="11" t="s">
        <v>18</v>
      </c>
      <c r="Q17" s="11" t="s">
        <v>7</v>
      </c>
      <c r="R17" s="25" t="str">
        <f t="shared" si="1"/>
        <v>SA</v>
      </c>
      <c r="S17" s="25"/>
      <c r="T17" s="25" t="s">
        <v>663</v>
      </c>
      <c r="U17" s="39" t="s">
        <v>670</v>
      </c>
    </row>
    <row r="18" spans="1:21" x14ac:dyDescent="0.4">
      <c r="A18" s="31" t="s">
        <v>366</v>
      </c>
      <c r="C18" s="15" t="s">
        <v>367</v>
      </c>
      <c r="D18" s="15" t="s">
        <v>7</v>
      </c>
      <c r="E18" s="25" t="str">
        <f t="shared" si="0"/>
        <v>NA</v>
      </c>
      <c r="N18" s="31" t="s">
        <v>501</v>
      </c>
      <c r="P18" s="15" t="s">
        <v>18</v>
      </c>
      <c r="Q18" s="15" t="s">
        <v>8</v>
      </c>
      <c r="R18" s="25" t="str">
        <f t="shared" si="1"/>
        <v>SB</v>
      </c>
      <c r="S18" s="25" t="s">
        <v>609</v>
      </c>
      <c r="T18" s="25" t="s">
        <v>662</v>
      </c>
      <c r="U18" s="39" t="s">
        <v>673</v>
      </c>
    </row>
    <row r="19" spans="1:21" x14ac:dyDescent="0.4">
      <c r="A19" s="32"/>
      <c r="C19" s="15" t="s">
        <v>367</v>
      </c>
      <c r="D19" s="15" t="s">
        <v>7</v>
      </c>
      <c r="E19" s="25" t="str">
        <f t="shared" si="0"/>
        <v>NA</v>
      </c>
      <c r="N19" s="32"/>
      <c r="P19" s="15" t="s">
        <v>18</v>
      </c>
      <c r="Q19" s="15" t="s">
        <v>8</v>
      </c>
      <c r="R19" s="25" t="str">
        <f t="shared" si="1"/>
        <v>SB</v>
      </c>
      <c r="S19" s="25"/>
      <c r="T19" s="25" t="s">
        <v>663</v>
      </c>
      <c r="U19" s="40" t="s">
        <v>682</v>
      </c>
    </row>
    <row r="20" spans="1:21" x14ac:dyDescent="0.4">
      <c r="A20" s="34" t="s">
        <v>368</v>
      </c>
      <c r="C20" s="11" t="s">
        <v>216</v>
      </c>
      <c r="D20" s="11" t="s">
        <v>9</v>
      </c>
      <c r="E20" s="25" t="str">
        <f t="shared" si="0"/>
        <v>GD</v>
      </c>
      <c r="F20" s="25" t="s">
        <v>614</v>
      </c>
      <c r="G20" s="26"/>
      <c r="H20" s="26"/>
      <c r="I20" s="26"/>
      <c r="J20" t="s">
        <v>611</v>
      </c>
      <c r="N20" s="34" t="s">
        <v>550</v>
      </c>
      <c r="P20" s="11" t="s">
        <v>18</v>
      </c>
      <c r="Q20" s="11" t="s">
        <v>10</v>
      </c>
      <c r="R20" s="25" t="str">
        <f t="shared" si="1"/>
        <v>SC</v>
      </c>
      <c r="S20" s="25" t="s">
        <v>610</v>
      </c>
      <c r="T20" s="25" t="s">
        <v>662</v>
      </c>
      <c r="U20" s="39" t="s">
        <v>674</v>
      </c>
    </row>
    <row r="21" spans="1:21" x14ac:dyDescent="0.4">
      <c r="A21" s="35"/>
      <c r="C21" s="11" t="s">
        <v>216</v>
      </c>
      <c r="D21" s="11" t="s">
        <v>9</v>
      </c>
      <c r="E21" s="25" t="str">
        <f t="shared" si="0"/>
        <v>GD</v>
      </c>
      <c r="N21" s="35"/>
      <c r="P21" s="11" t="s">
        <v>18</v>
      </c>
      <c r="Q21" s="11" t="s">
        <v>10</v>
      </c>
      <c r="R21" s="25" t="str">
        <f t="shared" si="1"/>
        <v>SC</v>
      </c>
      <c r="S21" s="25"/>
      <c r="T21" s="25" t="s">
        <v>663</v>
      </c>
      <c r="U21" s="39" t="s">
        <v>675</v>
      </c>
    </row>
    <row r="22" spans="1:21" x14ac:dyDescent="0.4">
      <c r="A22" s="31" t="s">
        <v>378</v>
      </c>
      <c r="C22"/>
      <c r="D22"/>
      <c r="E22" s="25" t="str">
        <f t="shared" si="0"/>
        <v/>
      </c>
      <c r="N22" s="31" t="s">
        <v>156</v>
      </c>
      <c r="P22" s="15" t="s">
        <v>20</v>
      </c>
      <c r="Q22" s="15" t="s">
        <v>157</v>
      </c>
      <c r="R22" s="25" t="str">
        <f t="shared" si="1"/>
        <v>TQ</v>
      </c>
      <c r="S22" s="25" t="s">
        <v>612</v>
      </c>
      <c r="T22" s="25" t="s">
        <v>662</v>
      </c>
      <c r="U22" s="39" t="s">
        <v>676</v>
      </c>
    </row>
    <row r="23" spans="1:21" x14ac:dyDescent="0.4">
      <c r="A23" s="32"/>
      <c r="C23" s="15" t="s">
        <v>381</v>
      </c>
      <c r="D23" s="15" t="s">
        <v>19</v>
      </c>
      <c r="E23" s="25" t="str">
        <f t="shared" si="0"/>
        <v>ER</v>
      </c>
      <c r="N23" s="32"/>
      <c r="P23" s="15" t="s">
        <v>20</v>
      </c>
      <c r="Q23" s="15" t="s">
        <v>157</v>
      </c>
      <c r="R23" s="25" t="str">
        <f t="shared" si="1"/>
        <v>TQ</v>
      </c>
      <c r="S23" s="25"/>
      <c r="T23" s="25" t="s">
        <v>663</v>
      </c>
      <c r="U23" s="39" t="s">
        <v>677</v>
      </c>
    </row>
    <row r="24" spans="1:21" x14ac:dyDescent="0.4">
      <c r="A24" s="34" t="s">
        <v>383</v>
      </c>
      <c r="C24" s="11" t="s">
        <v>384</v>
      </c>
      <c r="D24" s="11" t="s">
        <v>385</v>
      </c>
      <c r="E24" s="25" t="str">
        <f t="shared" si="0"/>
        <v>ZO</v>
      </c>
      <c r="F24" s="25" t="s">
        <v>606</v>
      </c>
      <c r="N24" s="34" t="s">
        <v>333</v>
      </c>
      <c r="P24" s="11" t="s">
        <v>334</v>
      </c>
      <c r="Q24" s="11" t="s">
        <v>18</v>
      </c>
      <c r="R24" s="25" t="str">
        <f t="shared" si="1"/>
        <v>LS</v>
      </c>
      <c r="S24" s="25" t="s">
        <v>613</v>
      </c>
      <c r="T24" s="25" t="s">
        <v>662</v>
      </c>
      <c r="U24" s="39" t="s">
        <v>678</v>
      </c>
    </row>
    <row r="25" spans="1:21" x14ac:dyDescent="0.4">
      <c r="A25" s="35"/>
      <c r="C25" s="11" t="s">
        <v>384</v>
      </c>
      <c r="D25" s="11" t="s">
        <v>385</v>
      </c>
      <c r="E25" s="25" t="str">
        <f t="shared" si="0"/>
        <v>ZO</v>
      </c>
      <c r="N25" s="35"/>
      <c r="P25" s="11" t="s">
        <v>334</v>
      </c>
      <c r="Q25" s="11" t="s">
        <v>18</v>
      </c>
      <c r="R25" s="25" t="str">
        <f t="shared" si="1"/>
        <v>LS</v>
      </c>
      <c r="S25" s="25"/>
      <c r="T25" s="25" t="s">
        <v>663</v>
      </c>
      <c r="U25" s="39" t="s">
        <v>679</v>
      </c>
    </row>
    <row r="26" spans="1:21" x14ac:dyDescent="0.4">
      <c r="A26" s="31" t="s">
        <v>388</v>
      </c>
      <c r="C26" s="15" t="s">
        <v>389</v>
      </c>
      <c r="D26" s="15" t="s">
        <v>390</v>
      </c>
      <c r="E26" s="25" t="str">
        <f t="shared" si="0"/>
        <v>PW</v>
      </c>
      <c r="N26" s="34" t="s">
        <v>368</v>
      </c>
      <c r="P26" s="11" t="s">
        <v>216</v>
      </c>
      <c r="Q26" s="11" t="s">
        <v>9</v>
      </c>
      <c r="R26" s="25" t="str">
        <f t="shared" si="1"/>
        <v>GD</v>
      </c>
      <c r="S26" s="25" t="s">
        <v>614</v>
      </c>
      <c r="T26" s="25" t="s">
        <v>662</v>
      </c>
      <c r="U26" s="39" t="s">
        <v>680</v>
      </c>
    </row>
    <row r="27" spans="1:21" x14ac:dyDescent="0.4">
      <c r="A27" s="32"/>
      <c r="C27" s="15" t="s">
        <v>389</v>
      </c>
      <c r="D27" s="15" t="s">
        <v>390</v>
      </c>
      <c r="E27" s="25" t="str">
        <f t="shared" si="0"/>
        <v>PW</v>
      </c>
      <c r="N27" s="35"/>
      <c r="P27" s="11" t="s">
        <v>216</v>
      </c>
      <c r="Q27" s="11" t="s">
        <v>9</v>
      </c>
      <c r="R27" s="25" t="str">
        <f t="shared" si="1"/>
        <v>GD</v>
      </c>
      <c r="S27" s="25"/>
      <c r="T27" s="25" t="s">
        <v>663</v>
      </c>
      <c r="U27" s="39" t="s">
        <v>681</v>
      </c>
    </row>
    <row r="28" spans="1:21" x14ac:dyDescent="0.4">
      <c r="A28" s="34" t="s">
        <v>401</v>
      </c>
      <c r="C28" s="11" t="s">
        <v>389</v>
      </c>
      <c r="D28" s="11" t="s">
        <v>19</v>
      </c>
      <c r="E28" s="25" t="str">
        <f t="shared" si="0"/>
        <v>PR</v>
      </c>
    </row>
    <row r="29" spans="1:21" x14ac:dyDescent="0.4">
      <c r="A29" s="35"/>
      <c r="C29" s="11" t="s">
        <v>389</v>
      </c>
      <c r="D29" s="11" t="s">
        <v>19</v>
      </c>
      <c r="E29" s="25" t="str">
        <f t="shared" si="0"/>
        <v>PR</v>
      </c>
    </row>
    <row r="30" spans="1:21" x14ac:dyDescent="0.4">
      <c r="A30" s="31" t="s">
        <v>402</v>
      </c>
      <c r="C30" s="15" t="s">
        <v>10</v>
      </c>
      <c r="D30" s="15" t="s">
        <v>390</v>
      </c>
      <c r="E30" s="25" t="str">
        <f t="shared" si="0"/>
        <v>CW</v>
      </c>
    </row>
    <row r="31" spans="1:21" x14ac:dyDescent="0.4">
      <c r="A31" s="32"/>
      <c r="C31" s="15" t="s">
        <v>10</v>
      </c>
      <c r="D31" s="15" t="s">
        <v>390</v>
      </c>
      <c r="E31" s="25" t="str">
        <f t="shared" si="0"/>
        <v>CW</v>
      </c>
    </row>
    <row r="32" spans="1:21" x14ac:dyDescent="0.4">
      <c r="A32" s="34" t="s">
        <v>418</v>
      </c>
      <c r="C32" s="11" t="s">
        <v>19</v>
      </c>
      <c r="D32" s="11" t="s">
        <v>10</v>
      </c>
      <c r="E32" s="25" t="str">
        <f t="shared" si="0"/>
        <v>RC</v>
      </c>
      <c r="F32" s="25" t="s">
        <v>604</v>
      </c>
    </row>
    <row r="33" spans="1:6" x14ac:dyDescent="0.4">
      <c r="A33" s="35"/>
      <c r="C33" s="11" t="s">
        <v>19</v>
      </c>
      <c r="D33" s="11" t="s">
        <v>10</v>
      </c>
      <c r="E33" s="25" t="str">
        <f t="shared" si="0"/>
        <v>RC</v>
      </c>
    </row>
    <row r="34" spans="1:6" x14ac:dyDescent="0.4">
      <c r="A34" s="31" t="s">
        <v>451</v>
      </c>
      <c r="C34" s="15" t="s">
        <v>390</v>
      </c>
      <c r="D34" s="15" t="s">
        <v>18</v>
      </c>
      <c r="E34" s="25" t="str">
        <f t="shared" si="0"/>
        <v>WS</v>
      </c>
    </row>
    <row r="35" spans="1:6" x14ac:dyDescent="0.4">
      <c r="A35" s="32"/>
      <c r="C35" s="15" t="s">
        <v>390</v>
      </c>
      <c r="D35" s="15" t="s">
        <v>18</v>
      </c>
      <c r="E35" s="25" t="str">
        <f t="shared" si="0"/>
        <v>WS</v>
      </c>
    </row>
    <row r="36" spans="1:6" x14ac:dyDescent="0.4">
      <c r="A36" s="34" t="s">
        <v>452</v>
      </c>
      <c r="C36" s="11" t="s">
        <v>382</v>
      </c>
      <c r="D36" s="11" t="s">
        <v>10</v>
      </c>
      <c r="E36" s="25" t="str">
        <f t="shared" si="0"/>
        <v>XC</v>
      </c>
    </row>
    <row r="37" spans="1:6" x14ac:dyDescent="0.4">
      <c r="A37" s="35"/>
      <c r="C37" s="11" t="s">
        <v>382</v>
      </c>
      <c r="D37" s="11" t="s">
        <v>10</v>
      </c>
      <c r="E37" s="25" t="str">
        <f t="shared" si="0"/>
        <v>XC</v>
      </c>
    </row>
    <row r="38" spans="1:6" x14ac:dyDescent="0.4">
      <c r="A38" s="31" t="s">
        <v>459</v>
      </c>
      <c r="C38" s="15" t="s">
        <v>382</v>
      </c>
      <c r="D38" s="15" t="s">
        <v>17</v>
      </c>
      <c r="E38" s="25" t="str">
        <f t="shared" si="0"/>
        <v>XM</v>
      </c>
    </row>
    <row r="39" spans="1:6" x14ac:dyDescent="0.4">
      <c r="A39" s="32"/>
      <c r="C39" s="15" t="s">
        <v>382</v>
      </c>
      <c r="D39" s="15" t="s">
        <v>17</v>
      </c>
      <c r="E39" s="25" t="str">
        <f t="shared" si="0"/>
        <v>XM</v>
      </c>
    </row>
    <row r="40" spans="1:6" x14ac:dyDescent="0.4">
      <c r="A40" s="34" t="s">
        <v>492</v>
      </c>
      <c r="C40" s="11" t="s">
        <v>382</v>
      </c>
      <c r="D40" s="11" t="s">
        <v>18</v>
      </c>
      <c r="E40" s="25" t="str">
        <f t="shared" si="0"/>
        <v>XS</v>
      </c>
    </row>
    <row r="41" spans="1:6" x14ac:dyDescent="0.4">
      <c r="A41" s="35"/>
      <c r="C41" s="11" t="s">
        <v>382</v>
      </c>
      <c r="D41" s="11" t="s">
        <v>18</v>
      </c>
      <c r="E41" s="25" t="str">
        <f t="shared" si="0"/>
        <v>XS</v>
      </c>
    </row>
    <row r="42" spans="1:6" x14ac:dyDescent="0.4">
      <c r="A42" s="31" t="s">
        <v>493</v>
      </c>
      <c r="C42" s="15" t="s">
        <v>10</v>
      </c>
      <c r="D42" s="15" t="s">
        <v>18</v>
      </c>
      <c r="E42" s="25" t="str">
        <f t="shared" si="0"/>
        <v>CS</v>
      </c>
      <c r="F42" s="25" t="s">
        <v>607</v>
      </c>
    </row>
    <row r="43" spans="1:6" x14ac:dyDescent="0.4">
      <c r="A43" s="32"/>
      <c r="C43" s="15" t="s">
        <v>10</v>
      </c>
      <c r="D43" s="15" t="s">
        <v>18</v>
      </c>
      <c r="E43" s="25" t="str">
        <f t="shared" si="0"/>
        <v>CS</v>
      </c>
    </row>
    <row r="44" spans="1:6" x14ac:dyDescent="0.4">
      <c r="A44" s="34" t="s">
        <v>500</v>
      </c>
      <c r="C44" s="11" t="s">
        <v>10</v>
      </c>
      <c r="D44" s="11" t="s">
        <v>19</v>
      </c>
      <c r="E44" s="25" t="str">
        <f t="shared" si="0"/>
        <v>CR</v>
      </c>
    </row>
    <row r="45" spans="1:6" x14ac:dyDescent="0.4">
      <c r="A45" s="35"/>
      <c r="C45" s="11" t="s">
        <v>10</v>
      </c>
      <c r="D45" s="11" t="s">
        <v>19</v>
      </c>
      <c r="E45" s="25" t="str">
        <f t="shared" si="0"/>
        <v>CR</v>
      </c>
    </row>
    <row r="46" spans="1:6" x14ac:dyDescent="0.4">
      <c r="A46" s="31" t="s">
        <v>501</v>
      </c>
      <c r="C46" s="15" t="s">
        <v>18</v>
      </c>
      <c r="D46" s="15" t="s">
        <v>8</v>
      </c>
      <c r="E46" s="25" t="str">
        <f t="shared" si="0"/>
        <v>SB</v>
      </c>
      <c r="F46" s="25" t="s">
        <v>609</v>
      </c>
    </row>
    <row r="47" spans="1:6" x14ac:dyDescent="0.4">
      <c r="A47" s="32"/>
      <c r="C47" s="15" t="s">
        <v>18</v>
      </c>
      <c r="D47" s="15" t="s">
        <v>8</v>
      </c>
      <c r="E47" s="25" t="str">
        <f t="shared" si="0"/>
        <v>SB</v>
      </c>
    </row>
    <row r="48" spans="1:6" x14ac:dyDescent="0.4">
      <c r="A48" s="34" t="s">
        <v>550</v>
      </c>
      <c r="C48" s="11" t="s">
        <v>18</v>
      </c>
      <c r="D48" s="11" t="s">
        <v>10</v>
      </c>
      <c r="E48" s="25" t="str">
        <f t="shared" si="0"/>
        <v>SC</v>
      </c>
      <c r="F48" s="25" t="s">
        <v>610</v>
      </c>
    </row>
    <row r="49" spans="1:5" x14ac:dyDescent="0.4">
      <c r="A49" s="35"/>
      <c r="C49" s="11" t="s">
        <v>18</v>
      </c>
      <c r="D49" s="11" t="s">
        <v>10</v>
      </c>
      <c r="E49" s="25" t="str">
        <f t="shared" si="0"/>
        <v>SC</v>
      </c>
    </row>
    <row r="50" spans="1:5" x14ac:dyDescent="0.4">
      <c r="A50" s="31" t="s">
        <v>591</v>
      </c>
      <c r="C50" s="15" t="s">
        <v>216</v>
      </c>
      <c r="D50" s="15" t="s">
        <v>8</v>
      </c>
      <c r="E50" s="25" t="str">
        <f t="shared" si="0"/>
        <v>GB</v>
      </c>
    </row>
    <row r="51" spans="1:5" x14ac:dyDescent="0.4">
      <c r="A51" s="32"/>
      <c r="C51" s="15" t="s">
        <v>216</v>
      </c>
      <c r="D51" s="15" t="s">
        <v>8</v>
      </c>
      <c r="E51" s="25" t="str">
        <f t="shared" si="0"/>
        <v>GB</v>
      </c>
    </row>
    <row r="52" spans="1:5" x14ac:dyDescent="0.4">
      <c r="A52" s="34" t="s">
        <v>592</v>
      </c>
      <c r="C52" s="11" t="s">
        <v>216</v>
      </c>
      <c r="D52" s="11" t="s">
        <v>10</v>
      </c>
      <c r="E52" s="25" t="str">
        <f t="shared" si="0"/>
        <v>GC</v>
      </c>
    </row>
    <row r="53" spans="1:5" x14ac:dyDescent="0.4">
      <c r="A53" s="35"/>
      <c r="C53" s="11" t="s">
        <v>216</v>
      </c>
      <c r="D53" s="11" t="s">
        <v>10</v>
      </c>
      <c r="E53" s="25" t="str">
        <f t="shared" si="0"/>
        <v>GC</v>
      </c>
    </row>
    <row r="54" spans="1:5" x14ac:dyDescent="0.4">
      <c r="A54" s="31" t="s">
        <v>593</v>
      </c>
      <c r="C54" s="15" t="s">
        <v>18</v>
      </c>
      <c r="D54" s="15" t="s">
        <v>385</v>
      </c>
      <c r="E54" s="25" t="str">
        <f t="shared" si="0"/>
        <v>SO</v>
      </c>
    </row>
    <row r="55" spans="1:5" x14ac:dyDescent="0.4">
      <c r="A55" s="32"/>
      <c r="C55" s="15" t="s">
        <v>18</v>
      </c>
      <c r="D55" s="15" t="s">
        <v>385</v>
      </c>
      <c r="E55" s="25" t="str">
        <f t="shared" si="0"/>
        <v>SO</v>
      </c>
    </row>
    <row r="56" spans="1:5" x14ac:dyDescent="0.4">
      <c r="A56" s="9"/>
      <c r="C56" s="9"/>
      <c r="D56" s="9"/>
    </row>
    <row r="57" spans="1:5" x14ac:dyDescent="0.4">
      <c r="A57" s="9"/>
      <c r="C57" s="9"/>
      <c r="D57" s="9"/>
    </row>
    <row r="58" spans="1:5" x14ac:dyDescent="0.4">
      <c r="A58" s="9"/>
      <c r="C58" s="9"/>
      <c r="D58" s="9"/>
    </row>
    <row r="59" spans="1:5" x14ac:dyDescent="0.4">
      <c r="A59" s="9"/>
      <c r="C59" s="9"/>
      <c r="D59" s="9"/>
    </row>
    <row r="60" spans="1:5" x14ac:dyDescent="0.4">
      <c r="A60" s="9"/>
      <c r="C60" s="9"/>
      <c r="D60" s="9"/>
    </row>
    <row r="61" spans="1:5" x14ac:dyDescent="0.4">
      <c r="A61" s="9"/>
      <c r="C61" s="9"/>
      <c r="D61" s="9"/>
    </row>
    <row r="62" spans="1:5" x14ac:dyDescent="0.4">
      <c r="A62" s="9"/>
      <c r="C62" s="9"/>
      <c r="D62" s="9"/>
    </row>
    <row r="63" spans="1:5" x14ac:dyDescent="0.4">
      <c r="A63" s="9"/>
      <c r="C63" s="9"/>
      <c r="D63" s="9"/>
    </row>
    <row r="64" spans="1:5" x14ac:dyDescent="0.4">
      <c r="A64" s="9"/>
      <c r="C64" s="9"/>
      <c r="D64" s="9"/>
    </row>
    <row r="65" spans="1:4" x14ac:dyDescent="0.4">
      <c r="A65" s="9"/>
      <c r="C65" s="9"/>
      <c r="D65" s="9"/>
    </row>
    <row r="66" spans="1:4" x14ac:dyDescent="0.4">
      <c r="A66" s="9"/>
      <c r="C66" s="9"/>
      <c r="D66" s="9"/>
    </row>
    <row r="67" spans="1:4" x14ac:dyDescent="0.4">
      <c r="A67" s="9"/>
      <c r="C67" s="9"/>
      <c r="D67" s="9"/>
    </row>
    <row r="68" spans="1:4" x14ac:dyDescent="0.4">
      <c r="A68" s="9"/>
      <c r="C68" s="9"/>
      <c r="D68" s="9"/>
    </row>
  </sheetData>
  <mergeCells count="39">
    <mergeCell ref="N26:N27"/>
    <mergeCell ref="N16:N17"/>
    <mergeCell ref="N18:N19"/>
    <mergeCell ref="N20:N21"/>
    <mergeCell ref="N22:N23"/>
    <mergeCell ref="N24:N25"/>
    <mergeCell ref="A14:A15"/>
    <mergeCell ref="N4:N5"/>
    <mergeCell ref="N6:N7"/>
    <mergeCell ref="N8:N9"/>
    <mergeCell ref="N10:N11"/>
    <mergeCell ref="N12:N13"/>
    <mergeCell ref="N14:N15"/>
    <mergeCell ref="A4:A5"/>
    <mergeCell ref="A6:A7"/>
    <mergeCell ref="A8:A9"/>
    <mergeCell ref="A10:A11"/>
    <mergeCell ref="A12:A13"/>
    <mergeCell ref="A18:A19"/>
    <mergeCell ref="A20:A21"/>
    <mergeCell ref="A22:A23"/>
    <mergeCell ref="A24:A25"/>
    <mergeCell ref="A26:A27"/>
    <mergeCell ref="A52:A53"/>
    <mergeCell ref="A54:A55"/>
    <mergeCell ref="C2:D2"/>
    <mergeCell ref="A40:A41"/>
    <mergeCell ref="A42:A43"/>
    <mergeCell ref="A44:A45"/>
    <mergeCell ref="A46:A47"/>
    <mergeCell ref="A48:A49"/>
    <mergeCell ref="A50:A51"/>
    <mergeCell ref="A28:A29"/>
    <mergeCell ref="A30:A31"/>
    <mergeCell ref="A32:A33"/>
    <mergeCell ref="A34:A35"/>
    <mergeCell ref="A36:A37"/>
    <mergeCell ref="A38:A39"/>
    <mergeCell ref="A16:A1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249EE-1EF1-4A4E-9B2A-E7474E1CE676}">
  <dimension ref="A1:A64"/>
  <sheetViews>
    <sheetView topLeftCell="A49" workbookViewId="0">
      <selection activeCell="L14" sqref="L14"/>
    </sheetView>
  </sheetViews>
  <sheetFormatPr defaultRowHeight="15" x14ac:dyDescent="0.25"/>
  <sheetData>
    <row r="1" spans="1:1" x14ac:dyDescent="0.25">
      <c r="A1" t="s">
        <v>615</v>
      </c>
    </row>
    <row r="2" spans="1:1" x14ac:dyDescent="0.25">
      <c r="A2" t="s">
        <v>616</v>
      </c>
    </row>
    <row r="3" spans="1:1" x14ac:dyDescent="0.25">
      <c r="A3" t="s">
        <v>617</v>
      </c>
    </row>
    <row r="5" spans="1:1" x14ac:dyDescent="0.25">
      <c r="A5" t="s">
        <v>618</v>
      </c>
    </row>
    <row r="6" spans="1:1" x14ac:dyDescent="0.25">
      <c r="A6" t="s">
        <v>619</v>
      </c>
    </row>
    <row r="7" spans="1:1" x14ac:dyDescent="0.25">
      <c r="A7" t="s">
        <v>620</v>
      </c>
    </row>
    <row r="8" spans="1:1" x14ac:dyDescent="0.25">
      <c r="A8" t="s">
        <v>621</v>
      </c>
    </row>
    <row r="9" spans="1:1" x14ac:dyDescent="0.25">
      <c r="A9" t="s">
        <v>622</v>
      </c>
    </row>
    <row r="10" spans="1:1" x14ac:dyDescent="0.25">
      <c r="A10" t="e">
        <f>- O receptor manda respostas também entre colchetes.</f>
        <v>#NAME?</v>
      </c>
    </row>
    <row r="11" spans="1:1" x14ac:dyDescent="0.25">
      <c r="A11" t="s">
        <v>623</v>
      </c>
    </row>
    <row r="13" spans="1:1" x14ac:dyDescent="0.25">
      <c r="A13" t="s">
        <v>624</v>
      </c>
    </row>
    <row r="14" spans="1:1" x14ac:dyDescent="0.25">
      <c r="A14" t="s">
        <v>625</v>
      </c>
    </row>
    <row r="15" spans="1:1" x14ac:dyDescent="0.25">
      <c r="A15" t="s">
        <v>626</v>
      </c>
    </row>
    <row r="16" spans="1:1" x14ac:dyDescent="0.25">
      <c r="A16" t="e">
        <f>-'RC': lê contadores / registros de uso.</f>
        <v>#NAME?</v>
      </c>
    </row>
    <row r="17" spans="1:1" x14ac:dyDescent="0.25">
      <c r="A17" t="s">
        <v>627</v>
      </c>
    </row>
    <row r="18" spans="1:1" x14ac:dyDescent="0.25">
      <c r="A18" t="s">
        <v>628</v>
      </c>
    </row>
    <row r="19" spans="1:1" x14ac:dyDescent="0.25">
      <c r="A19" t="e">
        <f>- CS: configura sensibilidade / configuração de detecção.</f>
        <v>#NAME?</v>
      </c>
    </row>
    <row r="20" spans="1:1" x14ac:dyDescent="0.25">
      <c r="A20" t="s">
        <v>629</v>
      </c>
    </row>
    <row r="21" spans="1:1" x14ac:dyDescent="0.25">
      <c r="A21" t="s">
        <v>630</v>
      </c>
    </row>
    <row r="22" spans="1:1" x14ac:dyDescent="0.25">
      <c r="A22" t="e">
        <f>- TQ: solicita torque e ângulo instantâneos.</f>
        <v>#NAME?</v>
      </c>
    </row>
    <row r="23" spans="1:1" x14ac:dyDescent="0.25">
      <c r="A23" t="s">
        <v>631</v>
      </c>
    </row>
    <row r="24" spans="1:1" x14ac:dyDescent="0.25">
      <c r="A24" t="s">
        <v>632</v>
      </c>
    </row>
    <row r="26" spans="1:1" x14ac:dyDescent="0.25">
      <c r="A26" t="s">
        <v>633</v>
      </c>
    </row>
    <row r="27" spans="1:1" x14ac:dyDescent="0.25">
      <c r="A27" t="s">
        <v>634</v>
      </c>
    </row>
    <row r="28" spans="1:1" x14ac:dyDescent="0.25">
      <c r="A28" t="s">
        <v>635</v>
      </c>
    </row>
    <row r="30" spans="1:1" x14ac:dyDescent="0.25">
      <c r="A30" t="s">
        <v>636</v>
      </c>
    </row>
    <row r="31" spans="1:1" x14ac:dyDescent="0.25">
      <c r="A31" t="s">
        <v>637</v>
      </c>
    </row>
    <row r="32" spans="1:1" x14ac:dyDescent="0.25">
      <c r="A32" t="s">
        <v>638</v>
      </c>
    </row>
    <row r="33" spans="1:1" x14ac:dyDescent="0.25">
      <c r="A33" t="s">
        <v>639</v>
      </c>
    </row>
    <row r="34" spans="1:1" x14ac:dyDescent="0.25">
      <c r="A34" t="s">
        <v>640</v>
      </c>
    </row>
    <row r="35" spans="1:1" x14ac:dyDescent="0.25">
      <c r="A35" t="s">
        <v>641</v>
      </c>
    </row>
    <row r="36" spans="1:1" x14ac:dyDescent="0.25">
      <c r="A36" t="s">
        <v>642</v>
      </c>
    </row>
    <row r="38" spans="1:1" x14ac:dyDescent="0.25">
      <c r="A38" t="s">
        <v>643</v>
      </c>
    </row>
    <row r="39" spans="1:1" x14ac:dyDescent="0.25">
      <c r="A39" t="e">
        <f>- ER03C4: erro retornado pelo dispositivo em resposta a SB em Algumas tentativas. a aplicação reenvia SB (retry) até obter resposta válida ou timeout.</f>
        <v>#NAME?</v>
      </c>
    </row>
    <row r="40" spans="1:1" x14ac:dyDescent="0.25">
      <c r="A40" t="e">
        <f>- Timeouts de estado: ex.: eWaitingAquisitionAdditionalConfig. a aplicação tem estados esperados e timeout para cada estado. Implementar estados claros e timers para cada etapa.</f>
        <v>#NAME?</v>
      </c>
    </row>
    <row r="42" spans="1:1" x14ac:dyDescent="0.25">
      <c r="A42" t="s">
        <v>644</v>
      </c>
    </row>
    <row r="43" spans="1:1" x14ac:dyDescent="0.25">
      <c r="A43" t="s">
        <v>645</v>
      </c>
    </row>
    <row r="44" spans="1:1" x14ac:dyDescent="0.25">
      <c r="A44" t="s">
        <v>646</v>
      </c>
    </row>
    <row r="46" spans="1:1" x14ac:dyDescent="0.25">
      <c r="A46" t="s">
        <v>647</v>
      </c>
    </row>
    <row r="47" spans="1:1" x14ac:dyDescent="0.25">
      <c r="A47" t="s">
        <v>648</v>
      </c>
    </row>
    <row r="48" spans="1:1" x14ac:dyDescent="0.25">
      <c r="A48" t="s">
        <v>649</v>
      </c>
    </row>
    <row r="49" spans="1:1" x14ac:dyDescent="0.25">
      <c r="A49" t="s">
        <v>650</v>
      </c>
    </row>
    <row r="50" spans="1:1" x14ac:dyDescent="0.25">
      <c r="A50" t="s">
        <v>651</v>
      </c>
    </row>
    <row r="51" spans="1:1" x14ac:dyDescent="0.25">
      <c r="A51" t="e">
        <f>- montar GD em buffer sequencial, emitir evento quando GD COMPLETE.</f>
        <v>#NAME?</v>
      </c>
    </row>
    <row r="52" spans="1:1" x14ac:dyDescent="0.25">
      <c r="A52" t="s">
        <v>652</v>
      </c>
    </row>
    <row r="54" spans="1:1" x14ac:dyDescent="0.25">
      <c r="A54" t="s">
        <v>653</v>
      </c>
    </row>
    <row r="55" spans="1:1" x14ac:dyDescent="0.25">
      <c r="A55" t="s">
        <v>654</v>
      </c>
    </row>
    <row r="56" spans="1:1" x14ac:dyDescent="0.25">
      <c r="A56" t="s">
        <v>655</v>
      </c>
    </row>
    <row r="57" spans="1:1" x14ac:dyDescent="0.25">
      <c r="A57" t="s">
        <v>656</v>
      </c>
    </row>
    <row r="58" spans="1:1" x14ac:dyDescent="0.25">
      <c r="A58" t="s">
        <v>657</v>
      </c>
    </row>
    <row r="60" spans="1:1" x14ac:dyDescent="0.25">
      <c r="A60" t="s">
        <v>658</v>
      </c>
    </row>
    <row r="61" spans="1:1" x14ac:dyDescent="0.25">
      <c r="A61" t="s">
        <v>659</v>
      </c>
    </row>
    <row r="62" spans="1:1" x14ac:dyDescent="0.25">
      <c r="A62" t="s">
        <v>660</v>
      </c>
    </row>
    <row r="64" spans="1:1" x14ac:dyDescent="0.25">
      <c r="A64" t="s">
        <v>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Erros</vt:lpstr>
      <vt:lpstr>Protocol</vt:lpstr>
      <vt:lpstr>SLOWCOMM</vt:lpstr>
      <vt:lpstr>Commands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Chiavelli</dc:creator>
  <cp:lastModifiedBy>Alexandre Chiavelli</cp:lastModifiedBy>
  <dcterms:created xsi:type="dcterms:W3CDTF">2025-11-18T17:56:27Z</dcterms:created>
  <dcterms:modified xsi:type="dcterms:W3CDTF">2025-11-20T01:35:48Z</dcterms:modified>
</cp:coreProperties>
</file>